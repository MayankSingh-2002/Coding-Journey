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ing Journey\"/>
    </mc:Choice>
  </mc:AlternateContent>
  <xr:revisionPtr revIDLastSave="0" documentId="13_ncr:1_{BC61A4CB-E7A9-477D-B234-FCA27529EA10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6" i="2" l="1"/>
  <c r="J406" i="2" s="1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J399" i="2"/>
  <c r="I399" i="2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J391" i="2"/>
  <c r="I391" i="2"/>
  <c r="I390" i="2"/>
  <c r="J390" i="2" s="1"/>
  <c r="I389" i="2"/>
  <c r="J389" i="2" s="1"/>
  <c r="I388" i="2"/>
  <c r="J388" i="2" s="1"/>
  <c r="J387" i="2"/>
  <c r="I387" i="2"/>
  <c r="I386" i="2"/>
  <c r="J386" i="2" s="1"/>
  <c r="I385" i="2"/>
  <c r="J385" i="2" s="1"/>
  <c r="I384" i="2"/>
  <c r="J384" i="2" s="1"/>
  <c r="J383" i="2"/>
  <c r="I383" i="2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J367" i="2"/>
  <c r="I367" i="2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J359" i="2"/>
  <c r="I359" i="2"/>
  <c r="I358" i="2"/>
  <c r="J358" i="2" s="1"/>
  <c r="I357" i="2"/>
  <c r="J357" i="2" s="1"/>
  <c r="I356" i="2"/>
  <c r="J356" i="2" s="1"/>
  <c r="J355" i="2"/>
  <c r="I355" i="2"/>
  <c r="I354" i="2"/>
  <c r="J354" i="2" s="1"/>
  <c r="I353" i="2"/>
  <c r="J353" i="2" s="1"/>
  <c r="I352" i="2"/>
  <c r="J352" i="2" s="1"/>
  <c r="J351" i="2"/>
  <c r="I351" i="2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J335" i="2"/>
  <c r="I335" i="2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J327" i="2"/>
  <c r="I327" i="2"/>
  <c r="I326" i="2"/>
  <c r="J326" i="2" s="1"/>
  <c r="I325" i="2"/>
  <c r="J325" i="2" s="1"/>
  <c r="I324" i="2"/>
  <c r="J324" i="2" s="1"/>
  <c r="J323" i="2"/>
  <c r="I323" i="2"/>
  <c r="I322" i="2"/>
  <c r="J322" i="2" s="1"/>
  <c r="I321" i="2"/>
  <c r="J321" i="2" s="1"/>
  <c r="I320" i="2"/>
  <c r="J320" i="2" s="1"/>
  <c r="J319" i="2"/>
  <c r="I319" i="2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J303" i="2"/>
  <c r="I303" i="2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J291" i="2"/>
  <c r="I291" i="2"/>
  <c r="I290" i="2"/>
  <c r="J290" i="2" s="1"/>
  <c r="I289" i="2"/>
  <c r="J289" i="2" s="1"/>
  <c r="I288" i="2"/>
  <c r="J288" i="2" s="1"/>
  <c r="J287" i="2"/>
  <c r="I287" i="2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J275" i="2"/>
  <c r="I275" i="2"/>
  <c r="I274" i="2"/>
  <c r="J274" i="2" s="1"/>
  <c r="I273" i="2"/>
  <c r="J273" i="2" s="1"/>
  <c r="I272" i="2"/>
  <c r="J272" i="2" s="1"/>
  <c r="J271" i="2"/>
  <c r="I271" i="2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J259" i="2"/>
  <c r="I259" i="2"/>
  <c r="I258" i="2"/>
  <c r="J258" i="2" s="1"/>
  <c r="I257" i="2"/>
  <c r="J257" i="2" s="1"/>
  <c r="I256" i="2"/>
  <c r="J256" i="2" s="1"/>
  <c r="J255" i="2"/>
  <c r="I255" i="2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J243" i="2"/>
  <c r="I243" i="2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J227" i="2"/>
  <c r="I227" i="2"/>
  <c r="I226" i="2"/>
  <c r="J226" i="2" s="1"/>
  <c r="I225" i="2"/>
  <c r="J225" i="2" s="1"/>
  <c r="I224" i="2"/>
  <c r="J224" i="2" s="1"/>
  <c r="J223" i="2"/>
  <c r="I223" i="2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J211" i="2"/>
  <c r="I211" i="2"/>
  <c r="I210" i="2"/>
  <c r="J210" i="2" s="1"/>
  <c r="I209" i="2"/>
  <c r="J209" i="2" s="1"/>
  <c r="I208" i="2"/>
  <c r="J208" i="2" s="1"/>
  <c r="J207" i="2"/>
  <c r="I207" i="2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J199" i="2"/>
  <c r="I199" i="2"/>
  <c r="I198" i="2"/>
  <c r="J198" i="2" s="1"/>
  <c r="I197" i="2"/>
  <c r="J197" i="2" s="1"/>
  <c r="I196" i="2"/>
  <c r="J196" i="2" s="1"/>
  <c r="J195" i="2"/>
  <c r="I195" i="2"/>
  <c r="I194" i="2"/>
  <c r="J194" i="2" s="1"/>
  <c r="I193" i="2"/>
  <c r="J193" i="2" s="1"/>
  <c r="I192" i="2"/>
  <c r="J192" i="2" s="1"/>
  <c r="J191" i="2"/>
  <c r="I191" i="2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J179" i="2"/>
  <c r="I179" i="2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J172" i="2"/>
  <c r="I172" i="2"/>
  <c r="I171" i="2"/>
  <c r="J171" i="2" s="1"/>
  <c r="I170" i="2"/>
  <c r="J170" i="2" s="1"/>
  <c r="I169" i="2"/>
  <c r="J169" i="2" s="1"/>
  <c r="J168" i="2"/>
  <c r="I168" i="2"/>
  <c r="I167" i="2"/>
  <c r="J167" i="2" s="1"/>
  <c r="J166" i="2"/>
  <c r="I166" i="2"/>
  <c r="I165" i="2"/>
  <c r="J165" i="2" s="1"/>
  <c r="J164" i="2"/>
  <c r="I164" i="2"/>
  <c r="J163" i="2"/>
  <c r="I163" i="2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J155" i="2"/>
  <c r="I155" i="2"/>
  <c r="J154" i="2"/>
  <c r="I154" i="2"/>
  <c r="I153" i="2"/>
  <c r="J153" i="2" s="1"/>
  <c r="J152" i="2"/>
  <c r="I152" i="2"/>
  <c r="I151" i="2"/>
  <c r="J151" i="2" s="1"/>
  <c r="I150" i="2"/>
  <c r="J150" i="2" s="1"/>
  <c r="I149" i="2"/>
  <c r="J149" i="2" s="1"/>
  <c r="I148" i="2"/>
  <c r="J148" i="2" s="1"/>
  <c r="I147" i="2"/>
  <c r="J147" i="2" s="1"/>
  <c r="J146" i="2"/>
  <c r="I146" i="2"/>
  <c r="I145" i="2"/>
  <c r="J145" i="2" s="1"/>
  <c r="I144" i="2"/>
  <c r="J144" i="2" s="1"/>
  <c r="J143" i="2"/>
  <c r="I143" i="2"/>
  <c r="I142" i="2"/>
  <c r="J142" i="2" s="1"/>
  <c r="I141" i="2"/>
  <c r="J141" i="2" s="1"/>
  <c r="J140" i="2"/>
  <c r="I140" i="2"/>
  <c r="I139" i="2"/>
  <c r="J139" i="2" s="1"/>
  <c r="I138" i="2"/>
  <c r="J138" i="2" s="1"/>
  <c r="I137" i="2"/>
  <c r="J137" i="2" s="1"/>
  <c r="I136" i="2"/>
  <c r="J136" i="2" s="1"/>
  <c r="I135" i="2"/>
  <c r="J135" i="2" s="1"/>
  <c r="J134" i="2"/>
  <c r="I134" i="2"/>
  <c r="I133" i="2"/>
  <c r="J133" i="2" s="1"/>
  <c r="J132" i="2"/>
  <c r="I132" i="2"/>
  <c r="J131" i="2"/>
  <c r="I131" i="2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J123" i="2"/>
  <c r="I123" i="2"/>
  <c r="J122" i="2"/>
  <c r="I122" i="2"/>
  <c r="I121" i="2"/>
  <c r="J121" i="2" s="1"/>
  <c r="J120" i="2"/>
  <c r="I120" i="2"/>
  <c r="I119" i="2"/>
  <c r="J119" i="2" s="1"/>
  <c r="I118" i="2"/>
  <c r="J118" i="2" s="1"/>
  <c r="I117" i="2"/>
  <c r="J117" i="2" s="1"/>
  <c r="I116" i="2"/>
  <c r="J116" i="2" s="1"/>
  <c r="I115" i="2"/>
  <c r="J115" i="2" s="1"/>
  <c r="J114" i="2"/>
  <c r="I114" i="2"/>
  <c r="I113" i="2"/>
  <c r="J113" i="2" s="1"/>
  <c r="I112" i="2"/>
  <c r="J112" i="2" s="1"/>
  <c r="J111" i="2"/>
  <c r="I111" i="2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J102" i="2"/>
  <c r="I102" i="2"/>
  <c r="I101" i="2"/>
  <c r="J101" i="2" s="1"/>
  <c r="J100" i="2"/>
  <c r="I100" i="2"/>
  <c r="J99" i="2"/>
  <c r="I99" i="2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J91" i="2"/>
  <c r="I91" i="2"/>
  <c r="J90" i="2"/>
  <c r="I90" i="2"/>
  <c r="I89" i="2"/>
  <c r="J89" i="2" s="1"/>
  <c r="J88" i="2"/>
  <c r="I88" i="2"/>
  <c r="I87" i="2"/>
  <c r="J87" i="2" s="1"/>
  <c r="I86" i="2"/>
  <c r="J86" i="2" s="1"/>
  <c r="I85" i="2"/>
  <c r="J85" i="2" s="1"/>
  <c r="I84" i="2"/>
  <c r="J84" i="2" s="1"/>
  <c r="I83" i="2"/>
  <c r="J83" i="2" s="1"/>
  <c r="J82" i="2"/>
  <c r="I82" i="2"/>
  <c r="I81" i="2"/>
  <c r="J81" i="2" s="1"/>
  <c r="I80" i="2"/>
  <c r="J80" i="2" s="1"/>
  <c r="J79" i="2"/>
  <c r="I79" i="2"/>
  <c r="I78" i="2"/>
  <c r="J78" i="2" s="1"/>
  <c r="I77" i="2"/>
  <c r="J77" i="2" s="1"/>
  <c r="J76" i="2"/>
  <c r="I76" i="2"/>
  <c r="I75" i="2"/>
  <c r="J75" i="2" s="1"/>
  <c r="I74" i="2"/>
  <c r="J74" i="2" s="1"/>
  <c r="I73" i="2"/>
  <c r="J73" i="2" s="1"/>
  <c r="I72" i="2"/>
  <c r="J72" i="2" s="1"/>
  <c r="I71" i="2"/>
  <c r="J71" i="2" s="1"/>
  <c r="J70" i="2"/>
  <c r="I70" i="2"/>
  <c r="I69" i="2"/>
  <c r="J69" i="2" s="1"/>
  <c r="I68" i="2"/>
  <c r="J68" i="2" s="1"/>
  <c r="J67" i="2"/>
  <c r="I67" i="2"/>
  <c r="I66" i="2"/>
  <c r="J66" i="2" s="1"/>
  <c r="I65" i="2"/>
  <c r="J65" i="2" s="1"/>
  <c r="J64" i="2"/>
  <c r="I64" i="2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5" i="2"/>
  <c r="J45" i="2" s="1"/>
  <c r="J44" i="2"/>
  <c r="I44" i="2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J28" i="2"/>
  <c r="I28" i="2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J20" i="2"/>
  <c r="I20" i="2"/>
  <c r="I19" i="2"/>
  <c r="J19" i="2" s="1"/>
  <c r="I18" i="2"/>
  <c r="J18" i="2" s="1"/>
  <c r="I17" i="2"/>
  <c r="J17" i="2" s="1"/>
  <c r="J16" i="2"/>
  <c r="I16" i="2"/>
  <c r="I15" i="2"/>
  <c r="J15" i="2" s="1"/>
  <c r="I14" i="2"/>
  <c r="J14" i="2" s="1"/>
  <c r="I13" i="2"/>
  <c r="J13" i="2" s="1"/>
  <c r="J12" i="2"/>
  <c r="I12" i="2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<sst xmlns="http://schemas.openxmlformats.org/spreadsheetml/2006/main" count="241" uniqueCount="111">
  <si>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</si>
  <si>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</si>
  <si>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</si>
  <si>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</si>
  <si>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</si>
  <si>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</si>
  <si>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</si>
  <si>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</si>
  <si>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</si>
  <si>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</si>
  <si>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</si>
  <si>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</si>
  <si>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</si>
  <si>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</si>
  <si>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</si>
  <si>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</si>
  <si>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</si>
  <si>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</si>
  <si>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</si>
  <si>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</si>
  <si>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</si>
  <si>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</si>
  <si>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</si>
  <si>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</si>
  <si>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</si>
  <si>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</si>
  <si>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</si>
  <si>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</si>
  <si>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</si>
  <si>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</si>
  <si>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</si>
  <si>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</si>
  <si>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</si>
  <si>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</si>
  <si>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</si>
  <si>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</si>
  <si>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</si>
  <si>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</si>
  <si>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</si>
  <si>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</si>
  <si>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</si>
  <si>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</si>
  <si>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</si>
  <si>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</si>
  <si>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</si>
  <si>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</si>
  <si>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</si>
  <si>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</si>
  <si>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</si>
  <si>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</si>
  <si>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</si>
  <si>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</si>
  <si>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</si>
  <si>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MAYANK SINGH</t>
  </si>
  <si>
    <t>P164-NN1:MCA/D1P2635</t>
  </si>
  <si>
    <t>Low</t>
  </si>
  <si>
    <t>Unsatisfied</t>
  </si>
  <si>
    <t>Felt extremely tired after today's classes</t>
  </si>
  <si>
    <t>Neutral</t>
  </si>
  <si>
    <t>I had cold today so being in class was tough.</t>
  </si>
  <si>
    <t>Didn't attend my last class because of my fever.</t>
  </si>
  <si>
    <t>Didn't attend any lecture due to punjab being closed</t>
  </si>
  <si>
    <t>Monday is added to our timetable so less time for study.</t>
  </si>
  <si>
    <t>High</t>
  </si>
  <si>
    <t>Today is Sunday so class is off. Ready for Monday's Class</t>
  </si>
  <si>
    <t>Today I was in Advance communication class feeling lonely and nervous</t>
  </si>
  <si>
    <t>Today I felt lonely and nervous during my communication class.</t>
  </si>
  <si>
    <t>Today's class and day was very exhausting. I am really tired.</t>
  </si>
  <si>
    <t>CA is coming have to do lots of studies to keep up with the class.</t>
  </si>
  <si>
    <t>Stressed</t>
  </si>
  <si>
    <t>Very Unsatisfied</t>
  </si>
  <si>
    <t>I am not getting time to work on myself. I have to change myself.</t>
  </si>
  <si>
    <t>I have fever today. It's tough for me to do anything today.</t>
  </si>
  <si>
    <t>Couldn't do anything productive because of powercut today.</t>
  </si>
  <si>
    <t>Need more Guts so that I can speak english during class</t>
  </si>
  <si>
    <t>I missed my first lecture because of my friend. He was very late.</t>
  </si>
  <si>
    <t>I need to work harder. So, that I can improve myself.</t>
  </si>
  <si>
    <t xml:space="preserve">I need to have better control over my emotions. </t>
  </si>
  <si>
    <t>I have to leave procrastination and should focus on study more.</t>
  </si>
  <si>
    <t>Wasted my whole day doing Nothing. Need to prepare for ca.</t>
  </si>
  <si>
    <t>This will be the last day of wasting my time. From now on study.</t>
  </si>
  <si>
    <t>Others are doing so much and here I am doing nothing but that will change.</t>
  </si>
  <si>
    <t>I couldn't perform well in my communication presentation.</t>
  </si>
  <si>
    <t>I think I did good in my dbms CA.</t>
  </si>
  <si>
    <t>Today was fresher's day. I realized I am not a fan of these type of things.</t>
  </si>
  <si>
    <t>Need to prepare for Analytical Skills upcoming CA exams.</t>
  </si>
  <si>
    <t>Sometimes all you need is just a break from everything.</t>
  </si>
  <si>
    <t>Excellent</t>
  </si>
  <si>
    <t>Very Satisfied</t>
  </si>
  <si>
    <t>Today I gave mars test. I need to do better in python.</t>
  </si>
  <si>
    <t>Today I did nothing productive and just wasted my day.</t>
  </si>
  <si>
    <t>I should have better control on my emotions.</t>
  </si>
  <si>
    <t xml:space="preserve">Analytical Skills test date has been out. </t>
  </si>
  <si>
    <t>Feeling stressed I don't know how I would be able to do better.</t>
  </si>
  <si>
    <t>Solving Analytical Problems for two period is very exhausting.</t>
  </si>
  <si>
    <t>Why do LPU held CA's exams online if they can't manage to do that properly. They have ruined my whole day.</t>
  </si>
  <si>
    <t>I really needed this Sunday. This week was so overwhelming.</t>
  </si>
  <si>
    <t>Today is the first date of filling my excel routine data.</t>
  </si>
  <si>
    <t>Attending 7 classes is so exhausting.</t>
  </si>
  <si>
    <t>Having no classes helps me more in my studies.</t>
  </si>
  <si>
    <t>On sundays I can do study and rest both.</t>
  </si>
  <si>
    <t>I am  weak in communication need to work on that.</t>
  </si>
  <si>
    <t>August</t>
  </si>
  <si>
    <t>I was having a bad day and I even scored badly in one of my CA's</t>
  </si>
  <si>
    <t>Working on python minor project and researching.</t>
  </si>
  <si>
    <t>Fixed some problems occurred during minor project coding.</t>
  </si>
  <si>
    <t>Preparing for upcoming english CA exams.</t>
  </si>
  <si>
    <t>Feeling very tired after attendig so many classes.</t>
  </si>
  <si>
    <t>Felling relaxed because of day off from college.</t>
  </si>
  <si>
    <t>Watching videos of our campus getting destroyed was very sad.</t>
  </si>
  <si>
    <t>10 days holidays are announced need to prepare concepts.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</si>
</sst>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rgb="FF80808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8" fillId="0" borderId="5" xfId="0" applyFont="1" applyBorder="1"/>
    <xf numFmtId="0" fontId="6" fillId="0" borderId="0" xfId="0" applyFont="1"/>
    <xf numFmtId="0" fontId="0" fillId="2" borderId="2" xfId="0" applyFill="1" applyBorder="1"/>
    <xf numFmtId="0" fontId="0" fillId="2" borderId="4" xfId="0" applyFill="1" applyBorder="1"/>
    <xf numFmtId="0" fontId="0" fillId="2" borderId="3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6"/>
  <sheetViews>
    <sheetView showGridLines="0" tabSelected="1" zoomScale="81" zoomScaleNormal="100" workbookViewId="0">
      <pane xSplit="1" ySplit="5" topLeftCell="B44" activePane="bottomRight" state="frozen"/>
      <selection pane="topRight" activeCell="B1" sqref="B1"/>
      <selection pane="bottomLeft" activeCell="A6" sqref="A6"/>
      <selection pane="bottomRight" activeCell="N52" sqref="N5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30</v>
      </c>
      <c r="B2" s="19" t="s">
        <v>53</v>
      </c>
      <c r="C2" s="20"/>
      <c r="D2" s="21"/>
      <c r="E2" s="6" t="s">
        <v>31</v>
      </c>
      <c r="F2" s="19">
        <v>12612197</v>
      </c>
      <c r="G2" s="21"/>
    </row>
    <row r="3" spans="1:14" ht="19.5" customHeight="1" x14ac:dyDescent="0.3">
      <c r="A3" s="6" t="s">
        <v>32</v>
      </c>
      <c r="B3" s="19" t="s">
        <v>54</v>
      </c>
      <c r="C3" s="20"/>
      <c r="D3" s="21"/>
      <c r="E3" s="6" t="s">
        <v>33</v>
      </c>
      <c r="F3" s="19" t="s">
        <v>102</v>
      </c>
      <c r="G3" s="21"/>
    </row>
    <row r="4" spans="1:14" x14ac:dyDescent="0.3">
      <c r="A4" s="17" t="s">
        <v>34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3">
        <v>46247</v>
      </c>
      <c r="B6" s="14">
        <v>450</v>
      </c>
      <c r="C6" s="14">
        <v>20</v>
      </c>
      <c r="D6" s="14">
        <v>30</v>
      </c>
      <c r="E6" s="14">
        <v>0</v>
      </c>
      <c r="F6" s="14">
        <v>300</v>
      </c>
      <c r="G6" s="14">
        <v>6</v>
      </c>
      <c r="H6" s="14">
        <v>240</v>
      </c>
      <c r="I6" s="15">
        <f t="shared" ref="I6:I45" si="0">IF(SUM(B6:F6,H6)=0,"",SUM(B6:F6,H6))</f>
        <v>1040</v>
      </c>
      <c r="J6" s="15">
        <f t="shared" ref="J6:J45" si="1">IF(I6="","",1440-I6)</f>
        <v>400</v>
      </c>
      <c r="K6" s="16" t="s">
        <v>49</v>
      </c>
      <c r="L6" s="16" t="s">
        <v>50</v>
      </c>
      <c r="M6" s="16" t="s">
        <v>63</v>
      </c>
      <c r="N6" s="16" t="s">
        <v>97</v>
      </c>
    </row>
    <row r="7" spans="1:14" ht="28.8" x14ac:dyDescent="0.3">
      <c r="A7" s="13">
        <v>46248</v>
      </c>
      <c r="B7" s="14">
        <v>360</v>
      </c>
      <c r="C7" s="14">
        <v>15</v>
      </c>
      <c r="D7" s="14">
        <v>20</v>
      </c>
      <c r="E7" s="14">
        <v>25</v>
      </c>
      <c r="F7" s="14">
        <v>350</v>
      </c>
      <c r="G7" s="14">
        <v>7</v>
      </c>
      <c r="H7" s="14">
        <v>180</v>
      </c>
      <c r="I7" s="15">
        <f t="shared" si="0"/>
        <v>950</v>
      </c>
      <c r="J7" s="15">
        <f t="shared" si="1"/>
        <v>490</v>
      </c>
      <c r="K7" s="16" t="s">
        <v>55</v>
      </c>
      <c r="L7" s="16" t="s">
        <v>56</v>
      </c>
      <c r="M7" s="16" t="s">
        <v>55</v>
      </c>
      <c r="N7" s="16" t="s">
        <v>98</v>
      </c>
    </row>
    <row r="8" spans="1:14" ht="28.8" x14ac:dyDescent="0.3">
      <c r="A8" s="13">
        <v>46249</v>
      </c>
      <c r="B8" s="14">
        <v>510</v>
      </c>
      <c r="C8" s="14">
        <v>0</v>
      </c>
      <c r="D8" s="14">
        <v>40</v>
      </c>
      <c r="E8" s="14">
        <v>60</v>
      </c>
      <c r="F8" s="14">
        <v>0</v>
      </c>
      <c r="G8" s="14">
        <v>0</v>
      </c>
      <c r="H8" s="14">
        <v>150</v>
      </c>
      <c r="I8" s="15">
        <f t="shared" si="0"/>
        <v>760</v>
      </c>
      <c r="J8" s="15">
        <f t="shared" si="1"/>
        <v>680</v>
      </c>
      <c r="K8" s="16" t="s">
        <v>58</v>
      </c>
      <c r="L8" s="16" t="s">
        <v>50</v>
      </c>
      <c r="M8" s="16" t="s">
        <v>51</v>
      </c>
      <c r="N8" s="16" t="s">
        <v>99</v>
      </c>
    </row>
    <row r="9" spans="1:14" ht="28.8" x14ac:dyDescent="0.3">
      <c r="A9" s="13">
        <v>46250</v>
      </c>
      <c r="B9" s="14">
        <v>450</v>
      </c>
      <c r="C9" s="14">
        <v>10</v>
      </c>
      <c r="D9" s="14">
        <v>35</v>
      </c>
      <c r="E9" s="14">
        <v>45</v>
      </c>
      <c r="F9" s="14">
        <v>0</v>
      </c>
      <c r="G9" s="14">
        <v>0</v>
      </c>
      <c r="H9" s="14">
        <v>90</v>
      </c>
      <c r="I9" s="15">
        <f t="shared" si="0"/>
        <v>630</v>
      </c>
      <c r="J9" s="15">
        <f t="shared" si="1"/>
        <v>810</v>
      </c>
      <c r="K9" s="16" t="s">
        <v>58</v>
      </c>
      <c r="L9" s="16" t="s">
        <v>70</v>
      </c>
      <c r="M9" s="16" t="s">
        <v>51</v>
      </c>
      <c r="N9" s="16" t="s">
        <v>100</v>
      </c>
    </row>
    <row r="10" spans="1:14" ht="43.2" x14ac:dyDescent="0.3">
      <c r="A10" s="13">
        <v>46251</v>
      </c>
      <c r="B10" s="14">
        <v>380</v>
      </c>
      <c r="C10" s="14">
        <v>30</v>
      </c>
      <c r="D10" s="14">
        <v>20</v>
      </c>
      <c r="E10" s="14">
        <v>40</v>
      </c>
      <c r="F10" s="14">
        <v>200</v>
      </c>
      <c r="G10" s="14">
        <v>4</v>
      </c>
      <c r="H10" s="14">
        <v>210</v>
      </c>
      <c r="I10" s="15">
        <f t="shared" si="0"/>
        <v>880</v>
      </c>
      <c r="J10" s="15">
        <f t="shared" si="1"/>
        <v>560</v>
      </c>
      <c r="K10" s="16" t="s">
        <v>58</v>
      </c>
      <c r="L10" s="16" t="s">
        <v>58</v>
      </c>
      <c r="M10" s="16" t="s">
        <v>55</v>
      </c>
      <c r="N10" s="16" t="s">
        <v>101</v>
      </c>
    </row>
    <row r="11" spans="1:14" ht="28.8" x14ac:dyDescent="0.3">
      <c r="A11" s="13">
        <v>46252</v>
      </c>
      <c r="B11" s="14">
        <v>320</v>
      </c>
      <c r="C11" s="14">
        <v>5</v>
      </c>
      <c r="D11" s="14">
        <v>28</v>
      </c>
      <c r="E11" s="14">
        <v>17</v>
      </c>
      <c r="F11" s="14">
        <v>300</v>
      </c>
      <c r="G11" s="14">
        <v>6</v>
      </c>
      <c r="H11" s="14">
        <v>45</v>
      </c>
      <c r="I11" s="15">
        <f t="shared" si="0"/>
        <v>715</v>
      </c>
      <c r="J11" s="15">
        <f t="shared" si="1"/>
        <v>725</v>
      </c>
      <c r="K11" s="16" t="s">
        <v>55</v>
      </c>
      <c r="L11" s="16" t="s">
        <v>56</v>
      </c>
      <c r="M11" s="16" t="s">
        <v>55</v>
      </c>
      <c r="N11" s="16" t="s">
        <v>57</v>
      </c>
    </row>
    <row r="12" spans="1:14" ht="28.8" x14ac:dyDescent="0.3">
      <c r="A12" s="13">
        <v>46253</v>
      </c>
      <c r="B12" s="14">
        <v>390</v>
      </c>
      <c r="C12" s="14">
        <v>18</v>
      </c>
      <c r="D12" s="14">
        <v>25</v>
      </c>
      <c r="E12" s="14">
        <v>70</v>
      </c>
      <c r="F12" s="14">
        <v>350</v>
      </c>
      <c r="G12" s="14">
        <v>7</v>
      </c>
      <c r="H12" s="14">
        <v>60</v>
      </c>
      <c r="I12" s="15">
        <f t="shared" si="0"/>
        <v>913</v>
      </c>
      <c r="J12" s="15">
        <f t="shared" si="1"/>
        <v>527</v>
      </c>
      <c r="K12" s="16" t="s">
        <v>58</v>
      </c>
      <c r="L12" s="16" t="s">
        <v>58</v>
      </c>
      <c r="M12" s="16" t="s">
        <v>51</v>
      </c>
      <c r="N12" s="16" t="s">
        <v>59</v>
      </c>
    </row>
    <row r="13" spans="1:14" ht="28.8" x14ac:dyDescent="0.3">
      <c r="A13" s="13">
        <v>46254</v>
      </c>
      <c r="B13" s="14">
        <v>370</v>
      </c>
      <c r="C13" s="14">
        <v>45</v>
      </c>
      <c r="D13" s="14">
        <v>40</v>
      </c>
      <c r="E13" s="14">
        <v>55</v>
      </c>
      <c r="F13" s="14">
        <v>150</v>
      </c>
      <c r="G13" s="14">
        <v>3</v>
      </c>
      <c r="H13" s="14">
        <v>55</v>
      </c>
      <c r="I13" s="15">
        <f t="shared" si="0"/>
        <v>715</v>
      </c>
      <c r="J13" s="15">
        <f t="shared" si="1"/>
        <v>725</v>
      </c>
      <c r="K13" s="16" t="s">
        <v>55</v>
      </c>
      <c r="L13" s="16" t="s">
        <v>56</v>
      </c>
      <c r="M13" s="16" t="s">
        <v>55</v>
      </c>
      <c r="N13" s="16" t="s">
        <v>60</v>
      </c>
    </row>
    <row r="14" spans="1:14" ht="28.8" x14ac:dyDescent="0.3">
      <c r="A14" s="13">
        <v>46255</v>
      </c>
      <c r="B14" s="14">
        <v>440</v>
      </c>
      <c r="C14" s="14">
        <v>15</v>
      </c>
      <c r="D14" s="14">
        <v>70</v>
      </c>
      <c r="E14" s="14">
        <v>95</v>
      </c>
      <c r="F14" s="14">
        <v>0</v>
      </c>
      <c r="G14" s="14">
        <v>0</v>
      </c>
      <c r="H14" s="14">
        <v>120</v>
      </c>
      <c r="I14" s="15">
        <f t="shared" si="0"/>
        <v>740</v>
      </c>
      <c r="J14" s="15">
        <f t="shared" si="1"/>
        <v>700</v>
      </c>
      <c r="K14" s="16" t="s">
        <v>49</v>
      </c>
      <c r="L14" s="16" t="s">
        <v>50</v>
      </c>
      <c r="M14" s="16" t="s">
        <v>51</v>
      </c>
      <c r="N14" s="16" t="s">
        <v>61</v>
      </c>
    </row>
    <row r="15" spans="1:14" ht="43.2" x14ac:dyDescent="0.3">
      <c r="A15" s="13">
        <v>46256</v>
      </c>
      <c r="B15" s="14">
        <v>510</v>
      </c>
      <c r="C15" s="14">
        <v>0</v>
      </c>
      <c r="D15" s="14">
        <v>35</v>
      </c>
      <c r="E15" s="14">
        <v>30</v>
      </c>
      <c r="F15" s="14">
        <v>0</v>
      </c>
      <c r="G15" s="14">
        <v>0</v>
      </c>
      <c r="H15" s="14">
        <v>155</v>
      </c>
      <c r="I15" s="15">
        <f t="shared" si="0"/>
        <v>730</v>
      </c>
      <c r="J15" s="15">
        <f t="shared" si="1"/>
        <v>710</v>
      </c>
      <c r="K15" s="16" t="s">
        <v>49</v>
      </c>
      <c r="L15" s="16" t="s">
        <v>58</v>
      </c>
      <c r="M15" s="16" t="s">
        <v>51</v>
      </c>
      <c r="N15" s="16" t="s">
        <v>62</v>
      </c>
    </row>
    <row r="16" spans="1:14" ht="43.2" x14ac:dyDescent="0.3">
      <c r="A16" s="13">
        <v>46257</v>
      </c>
      <c r="B16" s="14">
        <v>540</v>
      </c>
      <c r="C16" s="14">
        <v>20</v>
      </c>
      <c r="D16" s="14">
        <v>80</v>
      </c>
      <c r="E16" s="14">
        <v>100</v>
      </c>
      <c r="F16" s="14">
        <v>0</v>
      </c>
      <c r="G16" s="14">
        <v>0</v>
      </c>
      <c r="H16" s="14">
        <v>90</v>
      </c>
      <c r="I16" s="15">
        <f t="shared" si="0"/>
        <v>830</v>
      </c>
      <c r="J16" s="15">
        <f t="shared" si="1"/>
        <v>610</v>
      </c>
      <c r="K16" s="16" t="s">
        <v>49</v>
      </c>
      <c r="L16" s="16" t="s">
        <v>50</v>
      </c>
      <c r="M16" s="16" t="s">
        <v>63</v>
      </c>
      <c r="N16" s="16" t="s">
        <v>64</v>
      </c>
    </row>
    <row r="17" spans="1:14" ht="43.2" x14ac:dyDescent="0.3">
      <c r="A17" s="13">
        <v>46258</v>
      </c>
      <c r="B17" s="14">
        <v>370</v>
      </c>
      <c r="C17" s="14">
        <v>10</v>
      </c>
      <c r="D17" s="14">
        <v>20</v>
      </c>
      <c r="E17" s="14">
        <v>60</v>
      </c>
      <c r="F17" s="14">
        <v>200</v>
      </c>
      <c r="G17" s="14">
        <v>4</v>
      </c>
      <c r="H17" s="14">
        <v>80</v>
      </c>
      <c r="I17" s="15">
        <f t="shared" si="0"/>
        <v>740</v>
      </c>
      <c r="J17" s="15">
        <f t="shared" si="1"/>
        <v>700</v>
      </c>
      <c r="K17" s="16" t="s">
        <v>49</v>
      </c>
      <c r="L17" s="16" t="s">
        <v>50</v>
      </c>
      <c r="M17" s="16" t="s">
        <v>51</v>
      </c>
      <c r="N17" s="16" t="s">
        <v>65</v>
      </c>
    </row>
    <row r="18" spans="1:14" ht="43.2" x14ac:dyDescent="0.3">
      <c r="A18" s="13">
        <v>46259</v>
      </c>
      <c r="B18" s="14">
        <v>360</v>
      </c>
      <c r="C18" s="14">
        <v>20</v>
      </c>
      <c r="D18" s="14">
        <v>40</v>
      </c>
      <c r="E18" s="14">
        <v>50</v>
      </c>
      <c r="F18" s="14">
        <v>250</v>
      </c>
      <c r="G18" s="14">
        <v>5</v>
      </c>
      <c r="H18" s="14">
        <v>90</v>
      </c>
      <c r="I18" s="15">
        <f t="shared" si="0"/>
        <v>810</v>
      </c>
      <c r="J18" s="15">
        <f t="shared" si="1"/>
        <v>630</v>
      </c>
      <c r="K18" s="16" t="s">
        <v>49</v>
      </c>
      <c r="L18" s="16" t="s">
        <v>50</v>
      </c>
      <c r="M18" s="16" t="s">
        <v>51</v>
      </c>
      <c r="N18" s="16" t="s">
        <v>66</v>
      </c>
    </row>
    <row r="19" spans="1:14" ht="43.2" x14ac:dyDescent="0.3">
      <c r="A19" s="13">
        <v>46260</v>
      </c>
      <c r="B19" s="14">
        <v>330</v>
      </c>
      <c r="C19" s="14">
        <v>30</v>
      </c>
      <c r="D19" s="14">
        <v>50</v>
      </c>
      <c r="E19" s="14">
        <v>120</v>
      </c>
      <c r="F19" s="14">
        <v>250</v>
      </c>
      <c r="G19" s="14">
        <v>5</v>
      </c>
      <c r="H19" s="14">
        <v>10</v>
      </c>
      <c r="I19" s="15">
        <f t="shared" si="0"/>
        <v>790</v>
      </c>
      <c r="J19" s="15">
        <f t="shared" si="1"/>
        <v>650</v>
      </c>
      <c r="K19" s="16" t="s">
        <v>55</v>
      </c>
      <c r="L19" s="16" t="s">
        <v>50</v>
      </c>
      <c r="M19" s="16" t="s">
        <v>55</v>
      </c>
      <c r="N19" s="16" t="s">
        <v>67</v>
      </c>
    </row>
    <row r="20" spans="1:14" ht="43.2" x14ac:dyDescent="0.3">
      <c r="A20" s="13">
        <v>46261</v>
      </c>
      <c r="B20" s="14">
        <v>500</v>
      </c>
      <c r="C20" s="14">
        <v>20</v>
      </c>
      <c r="D20" s="14">
        <v>30</v>
      </c>
      <c r="E20" s="14">
        <v>120</v>
      </c>
      <c r="F20" s="14">
        <v>300</v>
      </c>
      <c r="G20" s="14">
        <v>6</v>
      </c>
      <c r="H20" s="14">
        <v>50</v>
      </c>
      <c r="I20" s="15">
        <f t="shared" si="0"/>
        <v>1020</v>
      </c>
      <c r="J20" s="15">
        <f t="shared" si="1"/>
        <v>420</v>
      </c>
      <c r="K20" s="16" t="s">
        <v>49</v>
      </c>
      <c r="L20" s="16" t="s">
        <v>56</v>
      </c>
      <c r="M20" s="16" t="s">
        <v>51</v>
      </c>
      <c r="N20" s="16" t="s">
        <v>68</v>
      </c>
    </row>
    <row r="21" spans="1:14" ht="43.2" x14ac:dyDescent="0.3">
      <c r="A21" s="13">
        <v>46262</v>
      </c>
      <c r="B21" s="14">
        <v>345</v>
      </c>
      <c r="C21" s="14">
        <v>25</v>
      </c>
      <c r="D21" s="14">
        <v>45</v>
      </c>
      <c r="E21" s="14">
        <v>65</v>
      </c>
      <c r="F21" s="14">
        <v>200</v>
      </c>
      <c r="G21" s="14">
        <v>4</v>
      </c>
      <c r="H21" s="14">
        <v>30</v>
      </c>
      <c r="I21" s="15">
        <f t="shared" si="0"/>
        <v>710</v>
      </c>
      <c r="J21" s="15">
        <f t="shared" si="1"/>
        <v>730</v>
      </c>
      <c r="K21" s="16" t="s">
        <v>69</v>
      </c>
      <c r="L21" s="16" t="s">
        <v>70</v>
      </c>
      <c r="M21" s="16" t="s">
        <v>55</v>
      </c>
      <c r="N21" s="16" t="s">
        <v>71</v>
      </c>
    </row>
    <row r="22" spans="1:14" ht="28.8" x14ac:dyDescent="0.3">
      <c r="A22" s="13">
        <v>46263</v>
      </c>
      <c r="B22" s="14">
        <v>480</v>
      </c>
      <c r="C22" s="14">
        <v>15</v>
      </c>
      <c r="D22" s="14">
        <v>40</v>
      </c>
      <c r="E22" s="14">
        <v>50</v>
      </c>
      <c r="F22" s="14">
        <v>0</v>
      </c>
      <c r="G22" s="14">
        <v>0</v>
      </c>
      <c r="H22" s="14">
        <v>100</v>
      </c>
      <c r="I22" s="15">
        <f t="shared" si="0"/>
        <v>685</v>
      </c>
      <c r="J22" s="15">
        <f t="shared" si="1"/>
        <v>755</v>
      </c>
      <c r="K22" s="16" t="s">
        <v>58</v>
      </c>
      <c r="L22" s="16" t="s">
        <v>56</v>
      </c>
      <c r="M22" s="16" t="s">
        <v>55</v>
      </c>
      <c r="N22" s="16" t="s">
        <v>72</v>
      </c>
    </row>
    <row r="23" spans="1:14" ht="43.2" x14ac:dyDescent="0.3">
      <c r="A23" s="13">
        <v>46264</v>
      </c>
      <c r="B23" s="14">
        <v>360</v>
      </c>
      <c r="C23" s="14">
        <v>10</v>
      </c>
      <c r="D23" s="14">
        <v>30</v>
      </c>
      <c r="E23" s="14">
        <v>40</v>
      </c>
      <c r="F23" s="14">
        <v>0</v>
      </c>
      <c r="G23" s="14">
        <v>0</v>
      </c>
      <c r="H23" s="14">
        <v>120</v>
      </c>
      <c r="I23" s="15">
        <f t="shared" si="0"/>
        <v>560</v>
      </c>
      <c r="J23" s="15">
        <f t="shared" si="1"/>
        <v>880</v>
      </c>
      <c r="K23" s="16" t="s">
        <v>58</v>
      </c>
      <c r="L23" s="16" t="s">
        <v>56</v>
      </c>
      <c r="M23" s="16" t="s">
        <v>55</v>
      </c>
      <c r="N23" s="16" t="s">
        <v>73</v>
      </c>
    </row>
    <row r="24" spans="1:14" ht="43.2" x14ac:dyDescent="0.3">
      <c r="A24" s="13">
        <v>46265</v>
      </c>
      <c r="B24" s="14">
        <v>420</v>
      </c>
      <c r="C24" s="14">
        <v>20</v>
      </c>
      <c r="D24" s="14">
        <v>25</v>
      </c>
      <c r="E24" s="14">
        <v>55</v>
      </c>
      <c r="F24" s="14">
        <v>200</v>
      </c>
      <c r="G24" s="14">
        <v>4</v>
      </c>
      <c r="H24" s="14">
        <v>45</v>
      </c>
      <c r="I24" s="15">
        <f t="shared" si="0"/>
        <v>765</v>
      </c>
      <c r="J24" s="15">
        <f t="shared" si="1"/>
        <v>675</v>
      </c>
      <c r="K24" s="16" t="s">
        <v>49</v>
      </c>
      <c r="L24" s="16" t="s">
        <v>58</v>
      </c>
      <c r="M24" s="16" t="s">
        <v>51</v>
      </c>
      <c r="N24" s="16" t="s">
        <v>74</v>
      </c>
    </row>
    <row r="25" spans="1:14" ht="43.2" x14ac:dyDescent="0.3">
      <c r="A25" s="13">
        <v>46266</v>
      </c>
      <c r="B25" s="14">
        <v>375</v>
      </c>
      <c r="C25" s="14">
        <v>10</v>
      </c>
      <c r="D25" s="14">
        <v>20</v>
      </c>
      <c r="E25" s="14">
        <v>120</v>
      </c>
      <c r="F25" s="14">
        <v>200</v>
      </c>
      <c r="G25" s="14">
        <v>4</v>
      </c>
      <c r="H25" s="14">
        <v>200</v>
      </c>
      <c r="I25" s="15">
        <f t="shared" si="0"/>
        <v>925</v>
      </c>
      <c r="J25" s="15">
        <f t="shared" si="1"/>
        <v>515</v>
      </c>
      <c r="K25" s="16" t="s">
        <v>55</v>
      </c>
      <c r="L25" s="16" t="s">
        <v>56</v>
      </c>
      <c r="M25" s="16" t="s">
        <v>55</v>
      </c>
      <c r="N25" s="16" t="s">
        <v>75</v>
      </c>
    </row>
    <row r="26" spans="1:14" ht="28.8" x14ac:dyDescent="0.3">
      <c r="A26" s="13">
        <v>46267</v>
      </c>
      <c r="B26" s="14">
        <v>390</v>
      </c>
      <c r="C26" s="14">
        <v>15</v>
      </c>
      <c r="D26" s="14">
        <v>40</v>
      </c>
      <c r="E26" s="14">
        <v>100</v>
      </c>
      <c r="F26" s="14">
        <v>250</v>
      </c>
      <c r="G26" s="14">
        <v>5</v>
      </c>
      <c r="H26" s="14">
        <v>40</v>
      </c>
      <c r="I26" s="15">
        <f t="shared" si="0"/>
        <v>835</v>
      </c>
      <c r="J26" s="15">
        <f t="shared" si="1"/>
        <v>605</v>
      </c>
      <c r="K26" s="16" t="s">
        <v>58</v>
      </c>
      <c r="L26" s="16" t="s">
        <v>58</v>
      </c>
      <c r="M26" s="16" t="s">
        <v>51</v>
      </c>
      <c r="N26" s="16" t="s">
        <v>76</v>
      </c>
    </row>
    <row r="27" spans="1:14" ht="28.8" x14ac:dyDescent="0.3">
      <c r="A27" s="13">
        <v>46268</v>
      </c>
      <c r="B27" s="14">
        <v>420</v>
      </c>
      <c r="C27" s="14">
        <v>25</v>
      </c>
      <c r="D27" s="14">
        <v>35</v>
      </c>
      <c r="E27" s="14">
        <v>45</v>
      </c>
      <c r="F27" s="14">
        <v>360</v>
      </c>
      <c r="G27" s="14">
        <v>6</v>
      </c>
      <c r="H27" s="14">
        <v>90</v>
      </c>
      <c r="I27" s="15">
        <f t="shared" si="0"/>
        <v>975</v>
      </c>
      <c r="J27" s="15">
        <f t="shared" si="1"/>
        <v>465</v>
      </c>
      <c r="K27" s="16" t="s">
        <v>69</v>
      </c>
      <c r="L27" s="16" t="s">
        <v>70</v>
      </c>
      <c r="M27" s="16" t="s">
        <v>55</v>
      </c>
      <c r="N27" s="16" t="s">
        <v>77</v>
      </c>
    </row>
    <row r="28" spans="1:14" ht="43.2" x14ac:dyDescent="0.3">
      <c r="A28" s="13">
        <v>46269</v>
      </c>
      <c r="B28" s="14">
        <v>330</v>
      </c>
      <c r="C28" s="14">
        <v>30</v>
      </c>
      <c r="D28" s="14">
        <v>50</v>
      </c>
      <c r="E28" s="14">
        <v>35</v>
      </c>
      <c r="F28" s="14">
        <v>350</v>
      </c>
      <c r="G28" s="14">
        <v>7</v>
      </c>
      <c r="H28" s="14">
        <v>79</v>
      </c>
      <c r="I28" s="15">
        <f t="shared" si="0"/>
        <v>874</v>
      </c>
      <c r="J28" s="15">
        <f t="shared" si="1"/>
        <v>566</v>
      </c>
      <c r="K28" s="16" t="s">
        <v>55</v>
      </c>
      <c r="L28" s="16" t="s">
        <v>70</v>
      </c>
      <c r="M28" s="16" t="s">
        <v>55</v>
      </c>
      <c r="N28" s="16" t="s">
        <v>78</v>
      </c>
    </row>
    <row r="29" spans="1:14" ht="43.2" x14ac:dyDescent="0.3">
      <c r="A29" s="13">
        <v>46270</v>
      </c>
      <c r="B29" s="14">
        <v>480</v>
      </c>
      <c r="C29" s="14">
        <v>0</v>
      </c>
      <c r="D29" s="14">
        <v>10</v>
      </c>
      <c r="E29" s="14">
        <v>20</v>
      </c>
      <c r="F29" s="14">
        <v>0</v>
      </c>
      <c r="G29" s="14">
        <v>0</v>
      </c>
      <c r="H29" s="14">
        <v>180</v>
      </c>
      <c r="I29" s="15">
        <f t="shared" si="0"/>
        <v>690</v>
      </c>
      <c r="J29" s="15">
        <f t="shared" si="1"/>
        <v>750</v>
      </c>
      <c r="K29" s="16" t="s">
        <v>58</v>
      </c>
      <c r="L29" s="16" t="s">
        <v>58</v>
      </c>
      <c r="M29" s="16" t="s">
        <v>51</v>
      </c>
      <c r="N29" s="16" t="s">
        <v>79</v>
      </c>
    </row>
    <row r="30" spans="1:14" ht="43.2" x14ac:dyDescent="0.3">
      <c r="A30" s="13">
        <v>46271</v>
      </c>
      <c r="B30" s="14">
        <v>450</v>
      </c>
      <c r="C30" s="14">
        <v>0</v>
      </c>
      <c r="D30" s="14">
        <v>20</v>
      </c>
      <c r="E30" s="14">
        <v>30</v>
      </c>
      <c r="F30" s="14">
        <v>0</v>
      </c>
      <c r="G30" s="14">
        <v>0</v>
      </c>
      <c r="H30" s="14">
        <v>120</v>
      </c>
      <c r="I30" s="15">
        <f t="shared" si="0"/>
        <v>620</v>
      </c>
      <c r="J30" s="15">
        <f t="shared" si="1"/>
        <v>820</v>
      </c>
      <c r="K30" s="16" t="s">
        <v>58</v>
      </c>
      <c r="L30" s="16" t="s">
        <v>70</v>
      </c>
      <c r="M30" s="16" t="s">
        <v>63</v>
      </c>
      <c r="N30" s="16" t="s">
        <v>80</v>
      </c>
    </row>
    <row r="31" spans="1:14" ht="43.2" x14ac:dyDescent="0.3">
      <c r="A31" s="13">
        <v>46272</v>
      </c>
      <c r="B31" s="14">
        <v>330</v>
      </c>
      <c r="C31" s="14">
        <v>20</v>
      </c>
      <c r="D31" s="14">
        <v>40</v>
      </c>
      <c r="E31" s="14">
        <v>40</v>
      </c>
      <c r="F31" s="14">
        <v>250</v>
      </c>
      <c r="G31" s="14">
        <v>5</v>
      </c>
      <c r="H31" s="14">
        <v>80</v>
      </c>
      <c r="I31" s="15">
        <f t="shared" si="0"/>
        <v>760</v>
      </c>
      <c r="J31" s="15">
        <f t="shared" si="1"/>
        <v>680</v>
      </c>
      <c r="K31" s="16" t="s">
        <v>69</v>
      </c>
      <c r="L31" s="16" t="s">
        <v>58</v>
      </c>
      <c r="M31" s="16" t="s">
        <v>51</v>
      </c>
      <c r="N31" s="16" t="s">
        <v>81</v>
      </c>
    </row>
    <row r="32" spans="1:14" ht="28.8" x14ac:dyDescent="0.3">
      <c r="A32" s="13">
        <v>46273</v>
      </c>
      <c r="B32" s="14">
        <v>360</v>
      </c>
      <c r="C32" s="14">
        <v>30</v>
      </c>
      <c r="D32" s="14">
        <v>50</v>
      </c>
      <c r="E32" s="14">
        <v>50</v>
      </c>
      <c r="F32" s="14">
        <v>250</v>
      </c>
      <c r="G32" s="14">
        <v>5</v>
      </c>
      <c r="H32" s="14">
        <v>240</v>
      </c>
      <c r="I32" s="15">
        <f t="shared" si="0"/>
        <v>980</v>
      </c>
      <c r="J32" s="15">
        <f t="shared" si="1"/>
        <v>460</v>
      </c>
      <c r="K32" s="16" t="s">
        <v>55</v>
      </c>
      <c r="L32" s="16" t="s">
        <v>70</v>
      </c>
      <c r="M32" s="16" t="s">
        <v>55</v>
      </c>
      <c r="N32" s="16" t="s">
        <v>82</v>
      </c>
    </row>
    <row r="33" spans="1:14" ht="28.8" x14ac:dyDescent="0.3">
      <c r="A33" s="13">
        <v>46274</v>
      </c>
      <c r="B33" s="14">
        <v>350</v>
      </c>
      <c r="C33" s="14">
        <v>20</v>
      </c>
      <c r="D33" s="14">
        <v>40</v>
      </c>
      <c r="E33" s="14">
        <v>60</v>
      </c>
      <c r="F33" s="14">
        <v>250</v>
      </c>
      <c r="G33" s="14">
        <v>5</v>
      </c>
      <c r="H33" s="14">
        <v>60</v>
      </c>
      <c r="I33" s="15">
        <f t="shared" si="0"/>
        <v>780</v>
      </c>
      <c r="J33" s="15">
        <f t="shared" si="1"/>
        <v>660</v>
      </c>
      <c r="K33" s="16" t="s">
        <v>49</v>
      </c>
      <c r="L33" s="16" t="s">
        <v>50</v>
      </c>
      <c r="M33" s="16" t="s">
        <v>63</v>
      </c>
      <c r="N33" s="16" t="s">
        <v>83</v>
      </c>
    </row>
    <row r="34" spans="1:14" ht="43.2" x14ac:dyDescent="0.3">
      <c r="A34" s="13">
        <v>46275</v>
      </c>
      <c r="B34" s="14">
        <v>380</v>
      </c>
      <c r="C34" s="14">
        <v>30</v>
      </c>
      <c r="D34" s="14">
        <v>80</v>
      </c>
      <c r="E34" s="14">
        <v>10</v>
      </c>
      <c r="F34" s="14">
        <v>100</v>
      </c>
      <c r="G34" s="14">
        <v>2</v>
      </c>
      <c r="H34" s="14">
        <v>15</v>
      </c>
      <c r="I34" s="15">
        <f t="shared" si="0"/>
        <v>615</v>
      </c>
      <c r="J34" s="15">
        <f t="shared" si="1"/>
        <v>825</v>
      </c>
      <c r="K34" s="16" t="s">
        <v>58</v>
      </c>
      <c r="L34" s="16" t="s">
        <v>58</v>
      </c>
      <c r="M34" s="16" t="s">
        <v>51</v>
      </c>
      <c r="N34" s="16" t="s">
        <v>84</v>
      </c>
    </row>
    <row r="35" spans="1:14" ht="43.2" x14ac:dyDescent="0.3">
      <c r="A35" s="13">
        <v>46276</v>
      </c>
      <c r="B35" s="14">
        <v>410</v>
      </c>
      <c r="C35" s="14">
        <v>20</v>
      </c>
      <c r="D35" s="14">
        <v>40</v>
      </c>
      <c r="E35" s="14">
        <v>50</v>
      </c>
      <c r="F35" s="14">
        <v>300</v>
      </c>
      <c r="G35" s="14">
        <v>6</v>
      </c>
      <c r="H35" s="14">
        <v>60</v>
      </c>
      <c r="I35" s="15">
        <f t="shared" si="0"/>
        <v>880</v>
      </c>
      <c r="J35" s="15">
        <f t="shared" si="1"/>
        <v>560</v>
      </c>
      <c r="K35" s="16" t="s">
        <v>49</v>
      </c>
      <c r="L35" s="16" t="s">
        <v>50</v>
      </c>
      <c r="M35" s="16" t="s">
        <v>51</v>
      </c>
      <c r="N35" s="16" t="s">
        <v>85</v>
      </c>
    </row>
    <row r="36" spans="1:14" ht="28.8" x14ac:dyDescent="0.3">
      <c r="A36" s="13">
        <v>46277</v>
      </c>
      <c r="B36" s="14">
        <v>450</v>
      </c>
      <c r="C36" s="14">
        <v>10</v>
      </c>
      <c r="D36" s="14">
        <v>15</v>
      </c>
      <c r="E36" s="14">
        <v>30</v>
      </c>
      <c r="F36" s="14">
        <v>0</v>
      </c>
      <c r="G36" s="14">
        <v>0</v>
      </c>
      <c r="H36" s="14">
        <v>240</v>
      </c>
      <c r="I36" s="15">
        <f t="shared" si="0"/>
        <v>745</v>
      </c>
      <c r="J36" s="15">
        <f t="shared" si="1"/>
        <v>695</v>
      </c>
      <c r="K36" s="16" t="s">
        <v>49</v>
      </c>
      <c r="L36" s="16" t="s">
        <v>50</v>
      </c>
      <c r="M36" s="16" t="s">
        <v>63</v>
      </c>
      <c r="N36" s="16" t="s">
        <v>86</v>
      </c>
    </row>
    <row r="37" spans="1:14" ht="43.2" x14ac:dyDescent="0.3">
      <c r="A37" s="13">
        <v>46278</v>
      </c>
      <c r="B37" s="14">
        <v>300</v>
      </c>
      <c r="C37" s="14">
        <v>0</v>
      </c>
      <c r="D37" s="14">
        <v>20</v>
      </c>
      <c r="E37" s="14">
        <v>50</v>
      </c>
      <c r="F37" s="14">
        <v>0</v>
      </c>
      <c r="G37" s="14">
        <v>0</v>
      </c>
      <c r="H37" s="14">
        <v>300</v>
      </c>
      <c r="I37" s="15">
        <f t="shared" si="0"/>
        <v>670</v>
      </c>
      <c r="J37" s="15">
        <f t="shared" si="1"/>
        <v>770</v>
      </c>
      <c r="K37" s="16" t="s">
        <v>49</v>
      </c>
      <c r="L37" s="16" t="s">
        <v>50</v>
      </c>
      <c r="M37" s="16" t="s">
        <v>51</v>
      </c>
      <c r="N37" s="16" t="s">
        <v>90</v>
      </c>
    </row>
    <row r="38" spans="1:14" ht="28.8" x14ac:dyDescent="0.3">
      <c r="A38" s="13">
        <v>46279</v>
      </c>
      <c r="B38" s="14">
        <v>420</v>
      </c>
      <c r="C38" s="14">
        <v>15</v>
      </c>
      <c r="D38" s="14">
        <v>40</v>
      </c>
      <c r="E38" s="14">
        <v>60</v>
      </c>
      <c r="F38" s="14">
        <v>200</v>
      </c>
      <c r="G38" s="14">
        <v>4</v>
      </c>
      <c r="H38" s="14">
        <v>200</v>
      </c>
      <c r="I38" s="15">
        <f t="shared" si="0"/>
        <v>935</v>
      </c>
      <c r="J38" s="15">
        <f t="shared" si="1"/>
        <v>505</v>
      </c>
      <c r="K38" s="16" t="s">
        <v>87</v>
      </c>
      <c r="L38" s="16" t="s">
        <v>88</v>
      </c>
      <c r="M38" s="16" t="s">
        <v>51</v>
      </c>
      <c r="N38" s="16" t="s">
        <v>91</v>
      </c>
    </row>
    <row r="39" spans="1:14" ht="28.8" x14ac:dyDescent="0.3">
      <c r="A39" s="13">
        <v>46280</v>
      </c>
      <c r="B39" s="14">
        <v>330</v>
      </c>
      <c r="C39" s="14">
        <v>10</v>
      </c>
      <c r="D39" s="14">
        <v>20</v>
      </c>
      <c r="E39" s="14">
        <v>40</v>
      </c>
      <c r="F39" s="14">
        <v>250</v>
      </c>
      <c r="G39" s="14">
        <v>5</v>
      </c>
      <c r="H39" s="14">
        <v>150</v>
      </c>
      <c r="I39" s="15">
        <f t="shared" si="0"/>
        <v>800</v>
      </c>
      <c r="J39" s="15">
        <f t="shared" si="1"/>
        <v>640</v>
      </c>
      <c r="K39" s="16" t="s">
        <v>58</v>
      </c>
      <c r="L39" s="16" t="s">
        <v>58</v>
      </c>
      <c r="M39" s="16" t="s">
        <v>51</v>
      </c>
      <c r="N39" s="16" t="s">
        <v>89</v>
      </c>
    </row>
    <row r="40" spans="1:14" ht="28.8" x14ac:dyDescent="0.3">
      <c r="A40" s="13">
        <v>46281</v>
      </c>
      <c r="B40" s="14">
        <v>510</v>
      </c>
      <c r="C40" s="14">
        <v>0</v>
      </c>
      <c r="D40" s="14">
        <v>60</v>
      </c>
      <c r="E40" s="14">
        <v>30</v>
      </c>
      <c r="F40" s="14">
        <v>250</v>
      </c>
      <c r="G40" s="14">
        <v>5</v>
      </c>
      <c r="H40" s="14">
        <v>90</v>
      </c>
      <c r="I40" s="15">
        <f t="shared" si="0"/>
        <v>940</v>
      </c>
      <c r="J40" s="15">
        <f t="shared" si="1"/>
        <v>500</v>
      </c>
      <c r="K40" s="16" t="s">
        <v>49</v>
      </c>
      <c r="L40" s="16" t="s">
        <v>58</v>
      </c>
      <c r="M40" s="16" t="s">
        <v>51</v>
      </c>
      <c r="N40" s="16" t="s">
        <v>92</v>
      </c>
    </row>
    <row r="41" spans="1:14" ht="43.2" x14ac:dyDescent="0.3">
      <c r="A41" s="13">
        <v>46282</v>
      </c>
      <c r="B41" s="14">
        <v>290</v>
      </c>
      <c r="C41" s="14">
        <v>10</v>
      </c>
      <c r="D41" s="14">
        <v>45</v>
      </c>
      <c r="E41" s="14">
        <v>30</v>
      </c>
      <c r="F41" s="14">
        <v>300</v>
      </c>
      <c r="G41" s="14">
        <v>6</v>
      </c>
      <c r="H41" s="14">
        <v>60</v>
      </c>
      <c r="I41" s="15">
        <f t="shared" si="0"/>
        <v>735</v>
      </c>
      <c r="J41" s="15">
        <f t="shared" si="1"/>
        <v>705</v>
      </c>
      <c r="K41" s="16" t="s">
        <v>49</v>
      </c>
      <c r="L41" s="16" t="s">
        <v>58</v>
      </c>
      <c r="M41" s="16" t="s">
        <v>51</v>
      </c>
      <c r="N41" s="16" t="s">
        <v>93</v>
      </c>
    </row>
    <row r="42" spans="1:14" ht="43.2" x14ac:dyDescent="0.3">
      <c r="A42" s="13">
        <v>46283</v>
      </c>
      <c r="B42" s="14">
        <v>350</v>
      </c>
      <c r="C42" s="14">
        <v>15</v>
      </c>
      <c r="D42" s="14">
        <v>40</v>
      </c>
      <c r="E42" s="14">
        <v>45</v>
      </c>
      <c r="F42" s="14">
        <v>350</v>
      </c>
      <c r="G42" s="14">
        <v>7</v>
      </c>
      <c r="H42" s="14">
        <v>90</v>
      </c>
      <c r="I42" s="15">
        <f t="shared" si="0"/>
        <v>890</v>
      </c>
      <c r="J42" s="15">
        <f t="shared" si="1"/>
        <v>550</v>
      </c>
      <c r="K42" s="16" t="s">
        <v>55</v>
      </c>
      <c r="L42" s="16" t="s">
        <v>56</v>
      </c>
      <c r="M42" s="16" t="s">
        <v>51</v>
      </c>
      <c r="N42" s="16" t="s">
        <v>94</v>
      </c>
    </row>
    <row r="43" spans="1:14" ht="72" x14ac:dyDescent="0.3">
      <c r="A43" s="13">
        <v>46284</v>
      </c>
      <c r="B43" s="14">
        <v>240</v>
      </c>
      <c r="C43" s="14">
        <v>10</v>
      </c>
      <c r="D43" s="14">
        <v>20</v>
      </c>
      <c r="E43" s="14">
        <v>10</v>
      </c>
      <c r="F43" s="14">
        <v>60</v>
      </c>
      <c r="G43" s="14">
        <v>1</v>
      </c>
      <c r="H43" s="14">
        <v>360</v>
      </c>
      <c r="I43" s="15">
        <f t="shared" si="0"/>
        <v>700</v>
      </c>
      <c r="J43" s="15">
        <f t="shared" si="1"/>
        <v>740</v>
      </c>
      <c r="K43" s="16" t="s">
        <v>69</v>
      </c>
      <c r="L43" s="16" t="s">
        <v>70</v>
      </c>
      <c r="M43" s="16" t="s">
        <v>55</v>
      </c>
      <c r="N43" s="16" t="s">
        <v>95</v>
      </c>
    </row>
    <row r="44" spans="1:14" ht="43.2" x14ac:dyDescent="0.3">
      <c r="A44" s="13">
        <v>46285</v>
      </c>
      <c r="B44" s="14">
        <v>410</v>
      </c>
      <c r="C44" s="14">
        <v>0</v>
      </c>
      <c r="D44" s="14">
        <v>70</v>
      </c>
      <c r="E44" s="14">
        <v>50</v>
      </c>
      <c r="F44" s="14">
        <v>0</v>
      </c>
      <c r="G44" s="14">
        <v>0</v>
      </c>
      <c r="H44" s="14">
        <v>410</v>
      </c>
      <c r="I44" s="15">
        <f t="shared" si="0"/>
        <v>940</v>
      </c>
      <c r="J44" s="15">
        <f t="shared" si="1"/>
        <v>500</v>
      </c>
      <c r="K44" s="16" t="s">
        <v>49</v>
      </c>
      <c r="L44" s="16" t="s">
        <v>58</v>
      </c>
      <c r="M44" s="16" t="s">
        <v>51</v>
      </c>
      <c r="N44" s="16" t="s">
        <v>96</v>
      </c>
    </row>
    <row r="45" spans="1:14" ht="43.2" x14ac:dyDescent="0.3">
      <c r="A45" s="13">
        <v>46286</v>
      </c>
      <c r="B45" s="14">
        <v>350</v>
      </c>
      <c r="C45" s="14">
        <v>30</v>
      </c>
      <c r="D45" s="14">
        <v>40</v>
      </c>
      <c r="E45" s="14">
        <v>60</v>
      </c>
      <c r="F45" s="14">
        <v>200</v>
      </c>
      <c r="G45" s="14">
        <v>4</v>
      </c>
      <c r="H45" s="14">
        <v>150</v>
      </c>
      <c r="I45" s="15">
        <f t="shared" si="0"/>
        <v>830</v>
      </c>
      <c r="J45" s="15">
        <f t="shared" si="1"/>
        <v>610</v>
      </c>
      <c r="K45" s="16" t="s">
        <v>55</v>
      </c>
      <c r="L45" s="16" t="s">
        <v>56</v>
      </c>
      <c r="M45" s="16" t="s">
        <v>55</v>
      </c>
      <c r="N45" s="16" t="s">
        <v>103</v>
      </c>
    </row>
    <row r="46" spans="1:14" ht="28.8" x14ac:dyDescent="0.3">
      <c r="A46" s="8">
        <v>46287</v>
      </c>
      <c r="B46" s="9">
        <v>300</v>
      </c>
      <c r="C46" s="9">
        <v>20</v>
      </c>
      <c r="D46" s="9">
        <v>60</v>
      </c>
      <c r="E46" s="9">
        <v>60</v>
      </c>
      <c r="F46" s="9">
        <v>250</v>
      </c>
      <c r="G46" s="9">
        <v>5</v>
      </c>
      <c r="H46" s="9">
        <v>220</v>
      </c>
      <c r="I46" s="10">
        <v>910</v>
      </c>
      <c r="J46" s="10">
        <v>530</v>
      </c>
      <c r="K46" s="11" t="s">
        <v>58</v>
      </c>
      <c r="L46" s="11" t="s">
        <v>58</v>
      </c>
      <c r="M46" s="11" t="s">
        <v>51</v>
      </c>
      <c r="N46" s="12" t="s">
        <v>104</v>
      </c>
    </row>
    <row r="47" spans="1:14" ht="28.8" x14ac:dyDescent="0.3">
      <c r="A47" s="8">
        <v>46288</v>
      </c>
      <c r="B47" s="9">
        <v>240</v>
      </c>
      <c r="C47" s="9">
        <v>10</v>
      </c>
      <c r="D47" s="9">
        <v>20</v>
      </c>
      <c r="E47" s="9">
        <v>40</v>
      </c>
      <c r="F47" s="9">
        <v>250</v>
      </c>
      <c r="G47" s="9">
        <v>5</v>
      </c>
      <c r="H47" s="9">
        <v>180</v>
      </c>
      <c r="I47" s="10">
        <f t="shared" ref="I47:I69" si="2">IF(SUM(B47:F47,H47)=0,"",SUM(B47:F47,H47))</f>
        <v>740</v>
      </c>
      <c r="J47" s="10">
        <f t="shared" ref="J47:J69" si="3">IF(I47="","",1440-I47)</f>
        <v>700</v>
      </c>
      <c r="K47" s="11" t="s">
        <v>49</v>
      </c>
      <c r="L47" s="11" t="s">
        <v>50</v>
      </c>
      <c r="M47" s="11" t="s">
        <v>51</v>
      </c>
      <c r="N47" s="12" t="s">
        <v>105</v>
      </c>
    </row>
    <row r="48" spans="1:14" ht="28.8" x14ac:dyDescent="0.3">
      <c r="A48" s="8">
        <v>46289</v>
      </c>
      <c r="B48" s="9">
        <v>320</v>
      </c>
      <c r="C48" s="9">
        <v>15</v>
      </c>
      <c r="D48" s="9">
        <v>40</v>
      </c>
      <c r="E48" s="9">
        <v>30</v>
      </c>
      <c r="F48" s="9">
        <v>300</v>
      </c>
      <c r="G48" s="9">
        <v>6</v>
      </c>
      <c r="H48" s="9">
        <v>200</v>
      </c>
      <c r="I48" s="10">
        <f t="shared" si="2"/>
        <v>905</v>
      </c>
      <c r="J48" s="10">
        <f t="shared" si="3"/>
        <v>535</v>
      </c>
      <c r="K48" s="11" t="s">
        <v>58</v>
      </c>
      <c r="L48" s="11" t="s">
        <v>58</v>
      </c>
      <c r="M48" s="11" t="s">
        <v>51</v>
      </c>
      <c r="N48" s="12" t="s">
        <v>106</v>
      </c>
    </row>
    <row r="49" spans="1:14" ht="28.8" x14ac:dyDescent="0.3">
      <c r="A49" s="8">
        <v>46290</v>
      </c>
      <c r="B49" s="9">
        <v>360</v>
      </c>
      <c r="C49" s="9">
        <v>20</v>
      </c>
      <c r="D49" s="9">
        <v>25</v>
      </c>
      <c r="E49" s="9">
        <v>35</v>
      </c>
      <c r="F49" s="9">
        <v>350</v>
      </c>
      <c r="G49" s="9">
        <v>7</v>
      </c>
      <c r="H49" s="9">
        <v>120</v>
      </c>
      <c r="I49" s="10">
        <f t="shared" si="2"/>
        <v>910</v>
      </c>
      <c r="J49" s="10">
        <f t="shared" si="3"/>
        <v>530</v>
      </c>
      <c r="K49" s="11" t="s">
        <v>55</v>
      </c>
      <c r="L49" s="11" t="s">
        <v>56</v>
      </c>
      <c r="M49" s="11" t="s">
        <v>55</v>
      </c>
      <c r="N49" s="12" t="s">
        <v>107</v>
      </c>
    </row>
    <row r="50" spans="1:14" ht="28.8" x14ac:dyDescent="0.3">
      <c r="A50" s="8">
        <v>46291</v>
      </c>
      <c r="B50" s="9">
        <v>450</v>
      </c>
      <c r="C50" s="9">
        <v>30</v>
      </c>
      <c r="D50" s="9">
        <v>60</v>
      </c>
      <c r="E50" s="9">
        <v>60</v>
      </c>
      <c r="F50" s="9">
        <v>0</v>
      </c>
      <c r="G50" s="9">
        <v>0</v>
      </c>
      <c r="H50" s="9">
        <v>210</v>
      </c>
      <c r="I50" s="10">
        <f t="shared" si="2"/>
        <v>810</v>
      </c>
      <c r="J50" s="10">
        <f t="shared" si="3"/>
        <v>630</v>
      </c>
      <c r="K50" s="11" t="s">
        <v>58</v>
      </c>
      <c r="L50" s="11" t="s">
        <v>50</v>
      </c>
      <c r="M50" s="11" t="s">
        <v>51</v>
      </c>
      <c r="N50" s="12" t="s">
        <v>108</v>
      </c>
    </row>
    <row r="51" spans="1:14" ht="28.8" x14ac:dyDescent="0.3">
      <c r="A51" s="8">
        <v>46292</v>
      </c>
      <c r="B51" s="9">
        <v>430</v>
      </c>
      <c r="C51" s="9">
        <v>20</v>
      </c>
      <c r="D51" s="9">
        <v>50</v>
      </c>
      <c r="E51" s="9">
        <v>60</v>
      </c>
      <c r="F51" s="9">
        <v>0</v>
      </c>
      <c r="G51" s="9">
        <v>0</v>
      </c>
      <c r="H51" s="9">
        <v>170</v>
      </c>
      <c r="I51" s="10">
        <f t="shared" si="2"/>
        <v>730</v>
      </c>
      <c r="J51" s="10">
        <f t="shared" si="3"/>
        <v>710</v>
      </c>
      <c r="K51" s="11" t="s">
        <v>69</v>
      </c>
      <c r="L51" s="11" t="s">
        <v>58</v>
      </c>
      <c r="M51" s="11" t="s">
        <v>51</v>
      </c>
      <c r="N51" s="12" t="s">
        <v>109</v>
      </c>
    </row>
    <row r="52" spans="1:14" ht="28.8" x14ac:dyDescent="0.3">
      <c r="A52" s="8">
        <v>46293</v>
      </c>
      <c r="B52" s="9">
        <v>440</v>
      </c>
      <c r="C52" s="9">
        <v>25</v>
      </c>
      <c r="D52" s="9">
        <v>40</v>
      </c>
      <c r="E52" s="9">
        <v>50</v>
      </c>
      <c r="F52" s="9">
        <v>0</v>
      </c>
      <c r="G52" s="9">
        <v>0</v>
      </c>
      <c r="H52" s="9">
        <v>240</v>
      </c>
      <c r="I52" s="10">
        <f t="shared" si="2"/>
        <v>795</v>
      </c>
      <c r="J52" s="10">
        <f t="shared" si="3"/>
        <v>645</v>
      </c>
      <c r="K52" s="11" t="s">
        <v>55</v>
      </c>
      <c r="L52" s="11" t="s">
        <v>58</v>
      </c>
      <c r="M52" s="11" t="s">
        <v>51</v>
      </c>
      <c r="N52" s="12" t="s">
        <v>110</v>
      </c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2"/>
        <v/>
      </c>
      <c r="J53" s="10" t="str">
        <f t="shared" si="3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2"/>
        <v/>
      </c>
      <c r="J54" s="10" t="str">
        <f t="shared" si="3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2"/>
        <v/>
      </c>
      <c r="J55" s="10" t="str">
        <f t="shared" si="3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2"/>
        <v/>
      </c>
      <c r="J56" s="10" t="str">
        <f t="shared" si="3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2"/>
        <v/>
      </c>
      <c r="J57" s="10" t="str">
        <f t="shared" si="3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2"/>
        <v/>
      </c>
      <c r="J58" s="10" t="str">
        <f t="shared" si="3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2"/>
        <v/>
      </c>
      <c r="J59" s="10" t="str">
        <f t="shared" si="3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2"/>
        <v/>
      </c>
      <c r="J60" s="10" t="str">
        <f t="shared" si="3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2"/>
        <v/>
      </c>
      <c r="J61" s="10" t="str">
        <f t="shared" si="3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2"/>
        <v/>
      </c>
      <c r="J62" s="10" t="str">
        <f t="shared" si="3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2"/>
        <v/>
      </c>
      <c r="J63" s="10" t="str">
        <f t="shared" si="3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2"/>
        <v/>
      </c>
      <c r="J64" s="10" t="str">
        <f t="shared" si="3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2"/>
        <v/>
      </c>
      <c r="J65" s="10" t="str">
        <f t="shared" si="3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2"/>
        <v/>
      </c>
      <c r="J66" s="10" t="str">
        <f t="shared" si="3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2"/>
        <v/>
      </c>
      <c r="J67" s="10" t="str">
        <f t="shared" si="3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4">IF(SUM(B70:F70,H70)=0,"",SUM(B70:F70,H70))</f>
        <v/>
      </c>
      <c r="J70" s="10" t="str">
        <f t="shared" ref="J70:J133" si="5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4"/>
        <v/>
      </c>
      <c r="J71" s="10" t="str">
        <f t="shared" si="5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4"/>
        <v/>
      </c>
      <c r="J72" s="10" t="str">
        <f t="shared" si="5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4"/>
        <v/>
      </c>
      <c r="J73" s="10" t="str">
        <f t="shared" si="5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4"/>
        <v/>
      </c>
      <c r="J74" s="10" t="str">
        <f t="shared" si="5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4"/>
        <v/>
      </c>
      <c r="J75" s="10" t="str">
        <f t="shared" si="5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4"/>
        <v/>
      </c>
      <c r="J76" s="10" t="str">
        <f t="shared" si="5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4"/>
        <v/>
      </c>
      <c r="J77" s="10" t="str">
        <f t="shared" si="5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4"/>
        <v/>
      </c>
      <c r="J78" s="10" t="str">
        <f t="shared" si="5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4"/>
        <v/>
      </c>
      <c r="J79" s="10" t="str">
        <f t="shared" si="5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4"/>
        <v/>
      </c>
      <c r="J80" s="10" t="str">
        <f t="shared" si="5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4"/>
        <v/>
      </c>
      <c r="J81" s="10" t="str">
        <f t="shared" si="5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4"/>
        <v/>
      </c>
      <c r="J82" s="10" t="str">
        <f t="shared" si="5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4"/>
        <v/>
      </c>
      <c r="J83" s="10" t="str">
        <f t="shared" si="5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4"/>
        <v/>
      </c>
      <c r="J84" s="10" t="str">
        <f t="shared" si="5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4"/>
        <v/>
      </c>
      <c r="J85" s="10" t="str">
        <f t="shared" si="5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4"/>
        <v/>
      </c>
      <c r="J86" s="10" t="str">
        <f t="shared" si="5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4"/>
        <v/>
      </c>
      <c r="J87" s="10" t="str">
        <f t="shared" si="5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4"/>
        <v/>
      </c>
      <c r="J88" s="10" t="str">
        <f t="shared" si="5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4"/>
        <v/>
      </c>
      <c r="J89" s="10" t="str">
        <f t="shared" si="5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4"/>
        <v/>
      </c>
      <c r="J90" s="10" t="str">
        <f t="shared" si="5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4"/>
        <v/>
      </c>
      <c r="J91" s="10" t="str">
        <f t="shared" si="5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4"/>
        <v/>
      </c>
      <c r="J92" s="10" t="str">
        <f t="shared" si="5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4"/>
        <v/>
      </c>
      <c r="J93" s="10" t="str">
        <f t="shared" si="5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4"/>
        <v/>
      </c>
      <c r="J94" s="10" t="str">
        <f t="shared" si="5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4"/>
        <v/>
      </c>
      <c r="J95" s="10" t="str">
        <f t="shared" si="5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4"/>
        <v/>
      </c>
      <c r="J96" s="10" t="str">
        <f t="shared" si="5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4"/>
        <v/>
      </c>
      <c r="J97" s="10" t="str">
        <f t="shared" si="5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4"/>
        <v/>
      </c>
      <c r="J98" s="10" t="str">
        <f t="shared" si="5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4"/>
        <v/>
      </c>
      <c r="J99" s="10" t="str">
        <f t="shared" si="5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4"/>
        <v/>
      </c>
      <c r="J100" s="10" t="str">
        <f t="shared" si="5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4"/>
        <v/>
      </c>
      <c r="J101" s="10" t="str">
        <f t="shared" si="5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4"/>
        <v/>
      </c>
      <c r="J102" s="10" t="str">
        <f t="shared" si="5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4"/>
        <v/>
      </c>
      <c r="J103" s="10" t="str">
        <f t="shared" si="5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4"/>
        <v/>
      </c>
      <c r="J104" s="10" t="str">
        <f t="shared" si="5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4"/>
        <v/>
      </c>
      <c r="J105" s="10" t="str">
        <f t="shared" si="5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4"/>
        <v/>
      </c>
      <c r="J106" s="10" t="str">
        <f t="shared" si="5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4"/>
        <v/>
      </c>
      <c r="J107" s="10" t="str">
        <f t="shared" si="5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4"/>
        <v/>
      </c>
      <c r="J108" s="10" t="str">
        <f t="shared" si="5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4"/>
        <v/>
      </c>
      <c r="J109" s="10" t="str">
        <f t="shared" si="5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4"/>
        <v/>
      </c>
      <c r="J110" s="10" t="str">
        <f t="shared" si="5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4"/>
        <v/>
      </c>
      <c r="J111" s="10" t="str">
        <f t="shared" si="5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4"/>
        <v/>
      </c>
      <c r="J112" s="10" t="str">
        <f t="shared" si="5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4"/>
        <v/>
      </c>
      <c r="J113" s="10" t="str">
        <f t="shared" si="5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4"/>
        <v/>
      </c>
      <c r="J114" s="10" t="str">
        <f t="shared" si="5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4"/>
        <v/>
      </c>
      <c r="J115" s="10" t="str">
        <f t="shared" si="5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4"/>
        <v/>
      </c>
      <c r="J116" s="10" t="str">
        <f t="shared" si="5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4"/>
        <v/>
      </c>
      <c r="J117" s="10" t="str">
        <f t="shared" si="5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4"/>
        <v/>
      </c>
      <c r="J118" s="10" t="str">
        <f t="shared" si="5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4"/>
        <v/>
      </c>
      <c r="J119" s="10" t="str">
        <f t="shared" si="5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4"/>
        <v/>
      </c>
      <c r="J120" s="10" t="str">
        <f t="shared" si="5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4"/>
        <v/>
      </c>
      <c r="J121" s="10" t="str">
        <f t="shared" si="5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4"/>
        <v/>
      </c>
      <c r="J122" s="10" t="str">
        <f t="shared" si="5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4"/>
        <v/>
      </c>
      <c r="J123" s="10" t="str">
        <f t="shared" si="5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4"/>
        <v/>
      </c>
      <c r="J124" s="10" t="str">
        <f t="shared" si="5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4"/>
        <v/>
      </c>
      <c r="J125" s="10" t="str">
        <f t="shared" si="5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4"/>
        <v/>
      </c>
      <c r="J126" s="10" t="str">
        <f t="shared" si="5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4"/>
        <v/>
      </c>
      <c r="J127" s="10" t="str">
        <f t="shared" si="5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4"/>
        <v/>
      </c>
      <c r="J128" s="10" t="str">
        <f t="shared" si="5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4"/>
        <v/>
      </c>
      <c r="J129" s="10" t="str">
        <f t="shared" si="5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4"/>
        <v/>
      </c>
      <c r="J130" s="10" t="str">
        <f t="shared" si="5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4"/>
        <v/>
      </c>
      <c r="J131" s="10" t="str">
        <f t="shared" si="5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6">IF(SUM(B134:F134,H134)=0,"",SUM(B134:F134,H134))</f>
        <v/>
      </c>
      <c r="J134" s="10" t="str">
        <f t="shared" ref="J134:J197" si="7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6"/>
        <v/>
      </c>
      <c r="J135" s="10" t="str">
        <f t="shared" si="7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6"/>
        <v/>
      </c>
      <c r="J136" s="10" t="str">
        <f t="shared" si="7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6"/>
        <v/>
      </c>
      <c r="J137" s="10" t="str">
        <f t="shared" si="7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6"/>
        <v/>
      </c>
      <c r="J138" s="10" t="str">
        <f t="shared" si="7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6"/>
        <v/>
      </c>
      <c r="J139" s="10" t="str">
        <f t="shared" si="7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6"/>
        <v/>
      </c>
      <c r="J140" s="10" t="str">
        <f t="shared" si="7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6"/>
        <v/>
      </c>
      <c r="J141" s="10" t="str">
        <f t="shared" si="7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6"/>
        <v/>
      </c>
      <c r="J142" s="10" t="str">
        <f t="shared" si="7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6"/>
        <v/>
      </c>
      <c r="J143" s="10" t="str">
        <f t="shared" si="7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6"/>
        <v/>
      </c>
      <c r="J144" s="10" t="str">
        <f t="shared" si="7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6"/>
        <v/>
      </c>
      <c r="J145" s="10" t="str">
        <f t="shared" si="7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6"/>
        <v/>
      </c>
      <c r="J146" s="10" t="str">
        <f t="shared" si="7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6"/>
        <v/>
      </c>
      <c r="J147" s="10" t="str">
        <f t="shared" si="7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6"/>
        <v/>
      </c>
      <c r="J148" s="10" t="str">
        <f t="shared" si="7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6"/>
        <v/>
      </c>
      <c r="J149" s="10" t="str">
        <f t="shared" si="7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6"/>
        <v/>
      </c>
      <c r="J150" s="10" t="str">
        <f t="shared" si="7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6"/>
        <v/>
      </c>
      <c r="J151" s="10" t="str">
        <f t="shared" si="7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6"/>
        <v/>
      </c>
      <c r="J152" s="10" t="str">
        <f t="shared" si="7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6"/>
        <v/>
      </c>
      <c r="J153" s="10" t="str">
        <f t="shared" si="7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6"/>
        <v/>
      </c>
      <c r="J154" s="10" t="str">
        <f t="shared" si="7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6"/>
        <v/>
      </c>
      <c r="J155" s="10" t="str">
        <f t="shared" si="7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6"/>
        <v/>
      </c>
      <c r="J156" s="10" t="str">
        <f t="shared" si="7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6"/>
        <v/>
      </c>
      <c r="J157" s="10" t="str">
        <f t="shared" si="7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6"/>
        <v/>
      </c>
      <c r="J158" s="10" t="str">
        <f t="shared" si="7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6"/>
        <v/>
      </c>
      <c r="J159" s="10" t="str">
        <f t="shared" si="7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6"/>
        <v/>
      </c>
      <c r="J160" s="10" t="str">
        <f t="shared" si="7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6"/>
        <v/>
      </c>
      <c r="J161" s="10" t="str">
        <f t="shared" si="7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6"/>
        <v/>
      </c>
      <c r="J162" s="10" t="str">
        <f t="shared" si="7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6"/>
        <v/>
      </c>
      <c r="J163" s="10" t="str">
        <f t="shared" si="7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6"/>
        <v/>
      </c>
      <c r="J164" s="10" t="str">
        <f t="shared" si="7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6"/>
        <v/>
      </c>
      <c r="J165" s="10" t="str">
        <f t="shared" si="7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6"/>
        <v/>
      </c>
      <c r="J166" s="10" t="str">
        <f t="shared" si="7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6"/>
        <v/>
      </c>
      <c r="J167" s="10" t="str">
        <f t="shared" si="7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6"/>
        <v/>
      </c>
      <c r="J168" s="10" t="str">
        <f t="shared" si="7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6"/>
        <v/>
      </c>
      <c r="J169" s="10" t="str">
        <f t="shared" si="7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6"/>
        <v/>
      </c>
      <c r="J170" s="10" t="str">
        <f t="shared" si="7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6"/>
        <v/>
      </c>
      <c r="J171" s="10" t="str">
        <f t="shared" si="7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6"/>
        <v/>
      </c>
      <c r="J172" s="10" t="str">
        <f t="shared" si="7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6"/>
        <v/>
      </c>
      <c r="J173" s="10" t="str">
        <f t="shared" si="7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6"/>
        <v/>
      </c>
      <c r="J174" s="10" t="str">
        <f t="shared" si="7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6"/>
        <v/>
      </c>
      <c r="J175" s="10" t="str">
        <f t="shared" si="7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6"/>
        <v/>
      </c>
      <c r="J176" s="10" t="str">
        <f t="shared" si="7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6"/>
        <v/>
      </c>
      <c r="J177" s="10" t="str">
        <f t="shared" si="7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6"/>
        <v/>
      </c>
      <c r="J178" s="10" t="str">
        <f t="shared" si="7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6"/>
        <v/>
      </c>
      <c r="J179" s="10" t="str">
        <f t="shared" si="7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6"/>
        <v/>
      </c>
      <c r="J180" s="10" t="str">
        <f t="shared" si="7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6"/>
        <v/>
      </c>
      <c r="J181" s="10" t="str">
        <f t="shared" si="7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6"/>
        <v/>
      </c>
      <c r="J182" s="10" t="str">
        <f t="shared" si="7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6"/>
        <v/>
      </c>
      <c r="J183" s="10" t="str">
        <f t="shared" si="7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6"/>
        <v/>
      </c>
      <c r="J184" s="10" t="str">
        <f t="shared" si="7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6"/>
        <v/>
      </c>
      <c r="J185" s="10" t="str">
        <f t="shared" si="7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6"/>
        <v/>
      </c>
      <c r="J186" s="10" t="str">
        <f t="shared" si="7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6"/>
        <v/>
      </c>
      <c r="J187" s="10" t="str">
        <f t="shared" si="7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6"/>
        <v/>
      </c>
      <c r="J188" s="10" t="str">
        <f t="shared" si="7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6"/>
        <v/>
      </c>
      <c r="J189" s="10" t="str">
        <f t="shared" si="7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6"/>
        <v/>
      </c>
      <c r="J190" s="10" t="str">
        <f t="shared" si="7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6"/>
        <v/>
      </c>
      <c r="J191" s="10" t="str">
        <f t="shared" si="7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6"/>
        <v/>
      </c>
      <c r="J192" s="10" t="str">
        <f t="shared" si="7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6"/>
        <v/>
      </c>
      <c r="J193" s="10" t="str">
        <f t="shared" si="7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6"/>
        <v/>
      </c>
      <c r="J194" s="10" t="str">
        <f t="shared" si="7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6"/>
        <v/>
      </c>
      <c r="J195" s="10" t="str">
        <f t="shared" si="7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8">IF(SUM(B198:F198,H198)=0,"",SUM(B198:F198,H198))</f>
        <v/>
      </c>
      <c r="J198" s="10" t="str">
        <f t="shared" ref="J198:J261" si="9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8"/>
        <v/>
      </c>
      <c r="J199" s="10" t="str">
        <f t="shared" si="9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8"/>
        <v/>
      </c>
      <c r="J200" s="10" t="str">
        <f t="shared" si="9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8"/>
        <v/>
      </c>
      <c r="J201" s="10" t="str">
        <f t="shared" si="9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8"/>
        <v/>
      </c>
      <c r="J202" s="10" t="str">
        <f t="shared" si="9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8"/>
        <v/>
      </c>
      <c r="J203" s="10" t="str">
        <f t="shared" si="9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8"/>
        <v/>
      </c>
      <c r="J204" s="10" t="str">
        <f t="shared" si="9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8"/>
        <v/>
      </c>
      <c r="J205" s="10" t="str">
        <f t="shared" si="9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8"/>
        <v/>
      </c>
      <c r="J206" s="10" t="str">
        <f t="shared" si="9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8"/>
        <v/>
      </c>
      <c r="J207" s="10" t="str">
        <f t="shared" si="9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8"/>
        <v/>
      </c>
      <c r="J208" s="10" t="str">
        <f t="shared" si="9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8"/>
        <v/>
      </c>
      <c r="J209" s="10" t="str">
        <f t="shared" si="9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8"/>
        <v/>
      </c>
      <c r="J210" s="10" t="str">
        <f t="shared" si="9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8"/>
        <v/>
      </c>
      <c r="J211" s="10" t="str">
        <f t="shared" si="9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8"/>
        <v/>
      </c>
      <c r="J212" s="10" t="str">
        <f t="shared" si="9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8"/>
        <v/>
      </c>
      <c r="J213" s="10" t="str">
        <f t="shared" si="9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8"/>
        <v/>
      </c>
      <c r="J214" s="10" t="str">
        <f t="shared" si="9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8"/>
        <v/>
      </c>
      <c r="J215" s="10" t="str">
        <f t="shared" si="9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8"/>
        <v/>
      </c>
      <c r="J216" s="10" t="str">
        <f t="shared" si="9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8"/>
        <v/>
      </c>
      <c r="J217" s="10" t="str">
        <f t="shared" si="9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8"/>
        <v/>
      </c>
      <c r="J218" s="10" t="str">
        <f t="shared" si="9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8"/>
        <v/>
      </c>
      <c r="J219" s="10" t="str">
        <f t="shared" si="9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8"/>
        <v/>
      </c>
      <c r="J220" s="10" t="str">
        <f t="shared" si="9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8"/>
        <v/>
      </c>
      <c r="J221" s="10" t="str">
        <f t="shared" si="9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8"/>
        <v/>
      </c>
      <c r="J222" s="10" t="str">
        <f t="shared" si="9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8"/>
        <v/>
      </c>
      <c r="J223" s="10" t="str">
        <f t="shared" si="9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8"/>
        <v/>
      </c>
      <c r="J224" s="10" t="str">
        <f t="shared" si="9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8"/>
        <v/>
      </c>
      <c r="J225" s="10" t="str">
        <f t="shared" si="9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8"/>
        <v/>
      </c>
      <c r="J226" s="10" t="str">
        <f t="shared" si="9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8"/>
        <v/>
      </c>
      <c r="J227" s="10" t="str">
        <f t="shared" si="9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8"/>
        <v/>
      </c>
      <c r="J228" s="10" t="str">
        <f t="shared" si="9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8"/>
        <v/>
      </c>
      <c r="J229" s="10" t="str">
        <f t="shared" si="9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8"/>
        <v/>
      </c>
      <c r="J230" s="10" t="str">
        <f t="shared" si="9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8"/>
        <v/>
      </c>
      <c r="J231" s="10" t="str">
        <f t="shared" si="9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8"/>
        <v/>
      </c>
      <c r="J232" s="10" t="str">
        <f t="shared" si="9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8"/>
        <v/>
      </c>
      <c r="J233" s="10" t="str">
        <f t="shared" si="9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8"/>
        <v/>
      </c>
      <c r="J234" s="10" t="str">
        <f t="shared" si="9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8"/>
        <v/>
      </c>
      <c r="J235" s="10" t="str">
        <f t="shared" si="9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8"/>
        <v/>
      </c>
      <c r="J236" s="10" t="str">
        <f t="shared" si="9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8"/>
        <v/>
      </c>
      <c r="J237" s="10" t="str">
        <f t="shared" si="9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8"/>
        <v/>
      </c>
      <c r="J238" s="10" t="str">
        <f t="shared" si="9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8"/>
        <v/>
      </c>
      <c r="J239" s="10" t="str">
        <f t="shared" si="9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8"/>
        <v/>
      </c>
      <c r="J240" s="10" t="str">
        <f t="shared" si="9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8"/>
        <v/>
      </c>
      <c r="J241" s="10" t="str">
        <f t="shared" si="9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8"/>
        <v/>
      </c>
      <c r="J242" s="10" t="str">
        <f t="shared" si="9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8"/>
        <v/>
      </c>
      <c r="J243" s="10" t="str">
        <f t="shared" si="9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8"/>
        <v/>
      </c>
      <c r="J244" s="10" t="str">
        <f t="shared" si="9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8"/>
        <v/>
      </c>
      <c r="J245" s="10" t="str">
        <f t="shared" si="9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8"/>
        <v/>
      </c>
      <c r="J246" s="10" t="str">
        <f t="shared" si="9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8"/>
        <v/>
      </c>
      <c r="J247" s="10" t="str">
        <f t="shared" si="9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8"/>
        <v/>
      </c>
      <c r="J248" s="10" t="str">
        <f t="shared" si="9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8"/>
        <v/>
      </c>
      <c r="J249" s="10" t="str">
        <f t="shared" si="9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8"/>
        <v/>
      </c>
      <c r="J250" s="10" t="str">
        <f t="shared" si="9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8"/>
        <v/>
      </c>
      <c r="J251" s="10" t="str">
        <f t="shared" si="9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8"/>
        <v/>
      </c>
      <c r="J252" s="10" t="str">
        <f t="shared" si="9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8"/>
        <v/>
      </c>
      <c r="J253" s="10" t="str">
        <f t="shared" si="9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8"/>
        <v/>
      </c>
      <c r="J254" s="10" t="str">
        <f t="shared" si="9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8"/>
        <v/>
      </c>
      <c r="J255" s="10" t="str">
        <f t="shared" si="9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8"/>
        <v/>
      </c>
      <c r="J256" s="10" t="str">
        <f t="shared" si="9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8"/>
        <v/>
      </c>
      <c r="J257" s="10" t="str">
        <f t="shared" si="9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8"/>
        <v/>
      </c>
      <c r="J258" s="10" t="str">
        <f t="shared" si="9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8"/>
        <v/>
      </c>
      <c r="J259" s="10" t="str">
        <f t="shared" si="9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10">IF(SUM(B262:F262,H262)=0,"",SUM(B262:F262,H262))</f>
        <v/>
      </c>
      <c r="J262" s="10" t="str">
        <f t="shared" ref="J262:J325" si="11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10"/>
        <v/>
      </c>
      <c r="J263" s="10" t="str">
        <f t="shared" si="11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10"/>
        <v/>
      </c>
      <c r="J264" s="10" t="str">
        <f t="shared" si="11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10"/>
        <v/>
      </c>
      <c r="J265" s="10" t="str">
        <f t="shared" si="11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10"/>
        <v/>
      </c>
      <c r="J266" s="10" t="str">
        <f t="shared" si="11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10"/>
        <v/>
      </c>
      <c r="J267" s="10" t="str">
        <f t="shared" si="11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10"/>
        <v/>
      </c>
      <c r="J268" s="10" t="str">
        <f t="shared" si="11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10"/>
        <v/>
      </c>
      <c r="J269" s="10" t="str">
        <f t="shared" si="11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10"/>
        <v/>
      </c>
      <c r="J270" s="10" t="str">
        <f t="shared" si="11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10"/>
        <v/>
      </c>
      <c r="J271" s="10" t="str">
        <f t="shared" si="11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10"/>
        <v/>
      </c>
      <c r="J272" s="10" t="str">
        <f t="shared" si="11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10"/>
        <v/>
      </c>
      <c r="J273" s="10" t="str">
        <f t="shared" si="11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10"/>
        <v/>
      </c>
      <c r="J274" s="10" t="str">
        <f t="shared" si="11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10"/>
        <v/>
      </c>
      <c r="J275" s="10" t="str">
        <f t="shared" si="11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10"/>
        <v/>
      </c>
      <c r="J276" s="10" t="str">
        <f t="shared" si="11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10"/>
        <v/>
      </c>
      <c r="J277" s="10" t="str">
        <f t="shared" si="11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10"/>
        <v/>
      </c>
      <c r="J278" s="10" t="str">
        <f t="shared" si="11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10"/>
        <v/>
      </c>
      <c r="J279" s="10" t="str">
        <f t="shared" si="11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10"/>
        <v/>
      </c>
      <c r="J280" s="10" t="str">
        <f t="shared" si="11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10"/>
        <v/>
      </c>
      <c r="J281" s="10" t="str">
        <f t="shared" si="11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10"/>
        <v/>
      </c>
      <c r="J282" s="10" t="str">
        <f t="shared" si="11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10"/>
        <v/>
      </c>
      <c r="J283" s="10" t="str">
        <f t="shared" si="11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10"/>
        <v/>
      </c>
      <c r="J284" s="10" t="str">
        <f t="shared" si="11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10"/>
        <v/>
      </c>
      <c r="J285" s="10" t="str">
        <f t="shared" si="11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10"/>
        <v/>
      </c>
      <c r="J286" s="10" t="str">
        <f t="shared" si="11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10"/>
        <v/>
      </c>
      <c r="J287" s="10" t="str">
        <f t="shared" si="11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10"/>
        <v/>
      </c>
      <c r="J288" s="10" t="str">
        <f t="shared" si="11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10"/>
        <v/>
      </c>
      <c r="J289" s="10" t="str">
        <f t="shared" si="11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10"/>
        <v/>
      </c>
      <c r="J290" s="10" t="str">
        <f t="shared" si="11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10"/>
        <v/>
      </c>
      <c r="J291" s="10" t="str">
        <f t="shared" si="11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10"/>
        <v/>
      </c>
      <c r="J292" s="10" t="str">
        <f t="shared" si="11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10"/>
        <v/>
      </c>
      <c r="J293" s="10" t="str">
        <f t="shared" si="11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10"/>
        <v/>
      </c>
      <c r="J294" s="10" t="str">
        <f t="shared" si="11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10"/>
        <v/>
      </c>
      <c r="J295" s="10" t="str">
        <f t="shared" si="11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10"/>
        <v/>
      </c>
      <c r="J296" s="10" t="str">
        <f t="shared" si="11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10"/>
        <v/>
      </c>
      <c r="J297" s="10" t="str">
        <f t="shared" si="11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10"/>
        <v/>
      </c>
      <c r="J298" s="10" t="str">
        <f t="shared" si="11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10"/>
        <v/>
      </c>
      <c r="J299" s="10" t="str">
        <f t="shared" si="11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10"/>
        <v/>
      </c>
      <c r="J300" s="10" t="str">
        <f t="shared" si="11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10"/>
        <v/>
      </c>
      <c r="J301" s="10" t="str">
        <f t="shared" si="11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10"/>
        <v/>
      </c>
      <c r="J302" s="10" t="str">
        <f t="shared" si="11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10"/>
        <v/>
      </c>
      <c r="J303" s="10" t="str">
        <f t="shared" si="11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10"/>
        <v/>
      </c>
      <c r="J304" s="10" t="str">
        <f t="shared" si="11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10"/>
        <v/>
      </c>
      <c r="J305" s="10" t="str">
        <f t="shared" si="11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10"/>
        <v/>
      </c>
      <c r="J306" s="10" t="str">
        <f t="shared" si="11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10"/>
        <v/>
      </c>
      <c r="J307" s="10" t="str">
        <f t="shared" si="11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10"/>
        <v/>
      </c>
      <c r="J308" s="10" t="str">
        <f t="shared" si="11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10"/>
        <v/>
      </c>
      <c r="J309" s="10" t="str">
        <f t="shared" si="11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10"/>
        <v/>
      </c>
      <c r="J310" s="10" t="str">
        <f t="shared" si="11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10"/>
        <v/>
      </c>
      <c r="J311" s="10" t="str">
        <f t="shared" si="11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10"/>
        <v/>
      </c>
      <c r="J312" s="10" t="str">
        <f t="shared" si="11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10"/>
        <v/>
      </c>
      <c r="J313" s="10" t="str">
        <f t="shared" si="11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10"/>
        <v/>
      </c>
      <c r="J314" s="10" t="str">
        <f t="shared" si="11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10"/>
        <v/>
      </c>
      <c r="J315" s="10" t="str">
        <f t="shared" si="11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10"/>
        <v/>
      </c>
      <c r="J316" s="10" t="str">
        <f t="shared" si="11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10"/>
        <v/>
      </c>
      <c r="J317" s="10" t="str">
        <f t="shared" si="11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10"/>
        <v/>
      </c>
      <c r="J318" s="10" t="str">
        <f t="shared" si="11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10"/>
        <v/>
      </c>
      <c r="J319" s="10" t="str">
        <f t="shared" si="11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10"/>
        <v/>
      </c>
      <c r="J320" s="10" t="str">
        <f t="shared" si="11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10"/>
        <v/>
      </c>
      <c r="J321" s="10" t="str">
        <f t="shared" si="11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10"/>
        <v/>
      </c>
      <c r="J322" s="10" t="str">
        <f t="shared" si="11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10"/>
        <v/>
      </c>
      <c r="J323" s="10" t="str">
        <f t="shared" si="11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2">IF(SUM(B326:F326,H326)=0,"",SUM(B326:F326,H326))</f>
        <v/>
      </c>
      <c r="J326" s="10" t="str">
        <f t="shared" ref="J326:J389" si="13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2"/>
        <v/>
      </c>
      <c r="J327" s="10" t="str">
        <f t="shared" si="13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2"/>
        <v/>
      </c>
      <c r="J328" s="10" t="str">
        <f t="shared" si="13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2"/>
        <v/>
      </c>
      <c r="J329" s="10" t="str">
        <f t="shared" si="13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2"/>
        <v/>
      </c>
      <c r="J330" s="10" t="str">
        <f t="shared" si="13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2"/>
        <v/>
      </c>
      <c r="J331" s="10" t="str">
        <f t="shared" si="13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2"/>
        <v/>
      </c>
      <c r="J332" s="10" t="str">
        <f t="shared" si="13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2"/>
        <v/>
      </c>
      <c r="J333" s="10" t="str">
        <f t="shared" si="13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2"/>
        <v/>
      </c>
      <c r="J334" s="10" t="str">
        <f t="shared" si="13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2"/>
        <v/>
      </c>
      <c r="J335" s="10" t="str">
        <f t="shared" si="13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2"/>
        <v/>
      </c>
      <c r="J336" s="10" t="str">
        <f t="shared" si="13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2"/>
        <v/>
      </c>
      <c r="J337" s="10" t="str">
        <f t="shared" si="13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2"/>
        <v/>
      </c>
      <c r="J338" s="10" t="str">
        <f t="shared" si="13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2"/>
        <v/>
      </c>
      <c r="J339" s="10" t="str">
        <f t="shared" si="13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2"/>
        <v/>
      </c>
      <c r="J340" s="10" t="str">
        <f t="shared" si="13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2"/>
        <v/>
      </c>
      <c r="J341" s="10" t="str">
        <f t="shared" si="13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2"/>
        <v/>
      </c>
      <c r="J342" s="10" t="str">
        <f t="shared" si="13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2"/>
        <v/>
      </c>
      <c r="J343" s="10" t="str">
        <f t="shared" si="13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2"/>
        <v/>
      </c>
      <c r="J344" s="10" t="str">
        <f t="shared" si="13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2"/>
        <v/>
      </c>
      <c r="J345" s="10" t="str">
        <f t="shared" si="13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2"/>
        <v/>
      </c>
      <c r="J346" s="10" t="str">
        <f t="shared" si="13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2"/>
        <v/>
      </c>
      <c r="J347" s="10" t="str">
        <f t="shared" si="13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2"/>
        <v/>
      </c>
      <c r="J348" s="10" t="str">
        <f t="shared" si="13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2"/>
        <v/>
      </c>
      <c r="J349" s="10" t="str">
        <f t="shared" si="13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2"/>
        <v/>
      </c>
      <c r="J350" s="10" t="str">
        <f t="shared" si="13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2"/>
        <v/>
      </c>
      <c r="J351" s="10" t="str">
        <f t="shared" si="13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2"/>
        <v/>
      </c>
      <c r="J352" s="10" t="str">
        <f t="shared" si="13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2"/>
        <v/>
      </c>
      <c r="J353" s="10" t="str">
        <f t="shared" si="13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2"/>
        <v/>
      </c>
      <c r="J354" s="10" t="str">
        <f t="shared" si="13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2"/>
        <v/>
      </c>
      <c r="J355" s="10" t="str">
        <f t="shared" si="13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2"/>
        <v/>
      </c>
      <c r="J356" s="10" t="str">
        <f t="shared" si="13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2"/>
        <v/>
      </c>
      <c r="J357" s="10" t="str">
        <f t="shared" si="13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2"/>
        <v/>
      </c>
      <c r="J358" s="10" t="str">
        <f t="shared" si="13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2"/>
        <v/>
      </c>
      <c r="J359" s="10" t="str">
        <f t="shared" si="13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2"/>
        <v/>
      </c>
      <c r="J360" s="10" t="str">
        <f t="shared" si="13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2"/>
        <v/>
      </c>
      <c r="J361" s="10" t="str">
        <f t="shared" si="13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2"/>
        <v/>
      </c>
      <c r="J362" s="10" t="str">
        <f t="shared" si="13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2"/>
        <v/>
      </c>
      <c r="J363" s="10" t="str">
        <f t="shared" si="13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2"/>
        <v/>
      </c>
      <c r="J364" s="10" t="str">
        <f t="shared" si="13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2"/>
        <v/>
      </c>
      <c r="J365" s="10" t="str">
        <f t="shared" si="13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2"/>
        <v/>
      </c>
      <c r="J366" s="10" t="str">
        <f t="shared" si="13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2"/>
        <v/>
      </c>
      <c r="J367" s="10" t="str">
        <f t="shared" si="13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2"/>
        <v/>
      </c>
      <c r="J368" s="10" t="str">
        <f t="shared" si="13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2"/>
        <v/>
      </c>
      <c r="J369" s="10" t="str">
        <f t="shared" si="13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2"/>
        <v/>
      </c>
      <c r="J370" s="10" t="str">
        <f t="shared" si="13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2"/>
        <v/>
      </c>
      <c r="J371" s="10" t="str">
        <f t="shared" si="13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2"/>
        <v/>
      </c>
      <c r="J372" s="10" t="str">
        <f t="shared" si="13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2"/>
        <v/>
      </c>
      <c r="J373" s="10" t="str">
        <f t="shared" si="13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2"/>
        <v/>
      </c>
      <c r="J374" s="10" t="str">
        <f t="shared" si="13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2"/>
        <v/>
      </c>
      <c r="J375" s="10" t="str">
        <f t="shared" si="13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2"/>
        <v/>
      </c>
      <c r="J376" s="10" t="str">
        <f t="shared" si="13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2"/>
        <v/>
      </c>
      <c r="J377" s="10" t="str">
        <f t="shared" si="13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2"/>
        <v/>
      </c>
      <c r="J378" s="10" t="str">
        <f t="shared" si="13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2"/>
        <v/>
      </c>
      <c r="J379" s="10" t="str">
        <f t="shared" si="13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2"/>
        <v/>
      </c>
      <c r="J380" s="10" t="str">
        <f t="shared" si="13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2"/>
        <v/>
      </c>
      <c r="J381" s="10" t="str">
        <f t="shared" si="13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2"/>
        <v/>
      </c>
      <c r="J382" s="10" t="str">
        <f t="shared" si="13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2"/>
        <v/>
      </c>
      <c r="J383" s="10" t="str">
        <f t="shared" si="13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2"/>
        <v/>
      </c>
      <c r="J384" s="10" t="str">
        <f t="shared" si="13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2"/>
        <v/>
      </c>
      <c r="J385" s="10" t="str">
        <f t="shared" si="13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2"/>
        <v/>
      </c>
      <c r="J386" s="10" t="str">
        <f t="shared" si="13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2"/>
        <v/>
      </c>
      <c r="J387" s="10" t="str">
        <f t="shared" si="13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6" si="14">IF(SUM(B390:F390,H390)=0,"",SUM(B390:F390,H390))</f>
        <v/>
      </c>
      <c r="J390" s="10" t="str">
        <f t="shared" ref="J390:J406" si="15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4"/>
        <v/>
      </c>
      <c r="J391" s="10" t="str">
        <f t="shared" si="15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4"/>
        <v/>
      </c>
      <c r="J392" s="10" t="str">
        <f t="shared" si="15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4"/>
        <v/>
      </c>
      <c r="J393" s="10" t="str">
        <f t="shared" si="15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4"/>
        <v/>
      </c>
      <c r="J394" s="10" t="str">
        <f t="shared" si="15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4"/>
        <v/>
      </c>
      <c r="J395" s="10" t="str">
        <f t="shared" si="15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4"/>
        <v/>
      </c>
      <c r="J396" s="10" t="str">
        <f t="shared" si="15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4"/>
        <v/>
      </c>
      <c r="J397" s="10" t="str">
        <f t="shared" si="15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4"/>
        <v/>
      </c>
      <c r="J398" s="10" t="str">
        <f t="shared" si="15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4"/>
        <v/>
      </c>
      <c r="J399" s="10" t="str">
        <f t="shared" si="15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4"/>
        <v/>
      </c>
      <c r="J400" s="10" t="str">
        <f t="shared" si="15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4"/>
        <v/>
      </c>
      <c r="J401" s="10" t="str">
        <f t="shared" si="15"/>
        <v/>
      </c>
      <c r="K401" s="11"/>
      <c r="L401" s="11"/>
      <c r="M401" s="11"/>
      <c r="N401" s="12"/>
    </row>
    <row r="402" spans="1:14" x14ac:dyDescent="0.3">
      <c r="A402" s="8"/>
      <c r="B402" s="9"/>
      <c r="C402" s="9"/>
      <c r="D402" s="9"/>
      <c r="E402" s="9"/>
      <c r="F402" s="9"/>
      <c r="G402" s="9"/>
      <c r="H402" s="9"/>
      <c r="I402" s="10" t="str">
        <f t="shared" si="14"/>
        <v/>
      </c>
      <c r="J402" s="10" t="str">
        <f t="shared" si="15"/>
        <v/>
      </c>
      <c r="K402" s="11"/>
      <c r="L402" s="11"/>
      <c r="M402" s="11"/>
      <c r="N402" s="12"/>
    </row>
    <row r="403" spans="1:14" x14ac:dyDescent="0.3">
      <c r="A403" s="8"/>
      <c r="B403" s="9"/>
      <c r="C403" s="9"/>
      <c r="D403" s="9"/>
      <c r="E403" s="9"/>
      <c r="F403" s="9"/>
      <c r="G403" s="9"/>
      <c r="H403" s="9"/>
      <c r="I403" s="10" t="str">
        <f t="shared" si="14"/>
        <v/>
      </c>
      <c r="J403" s="10" t="str">
        <f t="shared" si="15"/>
        <v/>
      </c>
      <c r="K403" s="11"/>
      <c r="L403" s="11"/>
      <c r="M403" s="11"/>
      <c r="N403" s="12"/>
    </row>
    <row r="404" spans="1:14" x14ac:dyDescent="0.3">
      <c r="A404" s="8"/>
      <c r="B404" s="9"/>
      <c r="C404" s="9"/>
      <c r="D404" s="9"/>
      <c r="E404" s="9"/>
      <c r="F404" s="9"/>
      <c r="G404" s="9"/>
      <c r="H404" s="9"/>
      <c r="I404" s="10" t="str">
        <f t="shared" si="14"/>
        <v/>
      </c>
      <c r="J404" s="10" t="str">
        <f t="shared" si="15"/>
        <v/>
      </c>
      <c r="K404" s="11"/>
      <c r="L404" s="11"/>
      <c r="M404" s="11"/>
      <c r="N404" s="12"/>
    </row>
    <row r="405" spans="1:14" x14ac:dyDescent="0.3">
      <c r="A405" s="8"/>
      <c r="B405" s="9"/>
      <c r="C405" s="9"/>
      <c r="D405" s="9"/>
      <c r="E405" s="9"/>
      <c r="F405" s="9"/>
      <c r="G405" s="9"/>
      <c r="H405" s="9"/>
      <c r="I405" s="10" t="str">
        <f t="shared" si="14"/>
        <v/>
      </c>
      <c r="J405" s="10" t="str">
        <f t="shared" si="15"/>
        <v/>
      </c>
      <c r="K405" s="11"/>
      <c r="L405" s="11"/>
      <c r="M405" s="11"/>
      <c r="N405" s="12"/>
    </row>
    <row r="406" spans="1:14" x14ac:dyDescent="0.3">
      <c r="A406" s="8"/>
      <c r="B406" s="9"/>
      <c r="C406" s="9"/>
      <c r="D406" s="9"/>
      <c r="E406" s="9"/>
      <c r="F406" s="9"/>
      <c r="G406" s="9"/>
      <c r="H406" s="9"/>
      <c r="I406" s="10" t="str">
        <f t="shared" si="14"/>
        <v/>
      </c>
      <c r="J406" s="10" t="str">
        <f t="shared" si="15"/>
        <v/>
      </c>
      <c r="K406" s="11"/>
      <c r="L406" s="11"/>
      <c r="M406" s="11"/>
      <c r="N406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6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6" xr:uid="{D3A1D897-986C-4142-AAAD-8374377897F5}">
      <formula1>"Excellent,Good,Neutral,Low,Stressed"</formula1>
      <formula2>0</formula2>
    </dataValidation>
    <dataValidation type="list" allowBlank="1" prompt="Select today's satisfaction level" sqref="L6:L406" xr:uid="{33650840-AC5E-4F1B-887B-46ED49D1F365}">
      <formula1>"Very Satisfied,Satisfied,Neutral,Unsatisfied,Very Unsatisfied"</formula1>
      <formula2>0</formula2>
    </dataValidation>
    <dataValidation type="list" allowBlank="1" prompt="Select today's energy level" sqref="M6:M406" xr:uid="{A255EE73-BF12-411E-8BD6-059B37DDCA8B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Mayank Singh</cp:lastModifiedBy>
  <cp:revision>0</cp:revision>
  <dcterms:created xsi:type="dcterms:W3CDTF">2026-07-24T11:49:30Z</dcterms:created>
  <dcterms:modified xsi:type="dcterms:W3CDTF">2026-09-28T16:56:14Z</dcterms:modified>
  <dc:language>en-US</dc:language>
</cp:coreProperties>
</file>