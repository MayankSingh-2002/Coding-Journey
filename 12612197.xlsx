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2BDCE947-114D-447F-90D2-CDB3BE66448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<sst xmlns="http://schemas.openxmlformats.org/spreadsheetml/2006/main" count="85" uniqueCount="68">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</sst>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0" sqref="J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12612197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320</v>
      </c>
      <c r="C6" s="9">
        <v>5</v>
      </c>
      <c r="D6" s="9">
        <v>28</v>
      </c>
      <c r="E6" s="9">
        <v>17</v>
      </c>
      <c r="F6" s="9">
        <v>300</v>
      </c>
      <c r="G6" s="9">
        <v>6</v>
      </c>
      <c r="H6" s="9">
        <v>45</v>
      </c>
      <c r="I6" s="10">
        <f>IF(SUM(B6:F6,H6)=0,"",SUM(B6:F6,H6))</f>
        <v>715</v>
      </c>
      <c r="J6" s="10">
        <f>IF(I6="","",1440-I6)</f>
        <v>725</v>
      </c>
      <c r="K6" s="11" t="s">
        <v>56</v>
      </c>
      <c r="L6" s="11" t="s">
        <v>57</v>
      </c>
      <c r="M6" s="11" t="s">
        <v>56</v>
      </c>
      <c r="N6" s="12" t="s">
        <v>58</v>
      </c>
    </row>
    <row r="7" spans="1:14" ht="28.8" x14ac:dyDescent="0.3">
      <c r="A7" s="8">
        <v>46253</v>
      </c>
      <c r="B7" s="9">
        <v>390</v>
      </c>
      <c r="C7" s="9">
        <v>18</v>
      </c>
      <c r="D7" s="9">
        <v>25</v>
      </c>
      <c r="E7" s="9">
        <v>70</v>
      </c>
      <c r="F7" s="9">
        <v>350</v>
      </c>
      <c r="G7" s="9">
        <v>7</v>
      </c>
      <c r="H7" s="9">
        <v>60</v>
      </c>
      <c r="I7" s="10">
        <f>IF(SUM(B7:F7,H7)=0,"",SUM(B7:F7,H7))</f>
        <v>913</v>
      </c>
      <c r="J7" s="10">
        <f>IF(I7="","",1440-I7)</f>
        <v>527</v>
      </c>
      <c r="K7" s="11" t="s">
        <v>59</v>
      </c>
      <c r="L7" s="11" t="s">
        <v>59</v>
      </c>
      <c r="M7" s="11" t="s">
        <v>51</v>
      </c>
      <c r="N7" s="12" t="s">
        <v>60</v>
      </c>
    </row>
    <row r="8" spans="1:14" ht="28.8" x14ac:dyDescent="0.3">
      <c r="A8" s="8">
        <v>46254</v>
      </c>
      <c r="B8" s="9">
        <v>370</v>
      </c>
      <c r="C8" s="9">
        <v>45</v>
      </c>
      <c r="D8" s="9">
        <v>40</v>
      </c>
      <c r="E8" s="9">
        <v>55</v>
      </c>
      <c r="F8" s="9">
        <v>150</v>
      </c>
      <c r="G8" s="9">
        <v>3</v>
      </c>
      <c r="H8" s="9">
        <v>55</v>
      </c>
      <c r="I8" s="10">
        <f>IF(SUM(B8:F8,H8)=0,"",SUM(B8:F8,H8))</f>
        <v>715</v>
      </c>
      <c r="J8" s="10">
        <f>IF(I8="","",1440-I8)</f>
        <v>725</v>
      </c>
      <c r="K8" s="11" t="s">
        <v>56</v>
      </c>
      <c r="L8" s="11" t="s">
        <v>57</v>
      </c>
      <c r="M8" s="11" t="s">
        <v>56</v>
      </c>
      <c r="N8" s="12" t="s">
        <v>61</v>
      </c>
    </row>
    <row r="9" spans="1:14" ht="28.8" x14ac:dyDescent="0.3">
      <c r="A9" s="8">
        <v>46255</v>
      </c>
      <c r="B9" s="9">
        <v>440</v>
      </c>
      <c r="C9" s="9">
        <v>15</v>
      </c>
      <c r="D9" s="9">
        <v>70</v>
      </c>
      <c r="E9" s="9">
        <v>95</v>
      </c>
      <c r="F9" s="9">
        <v>0</v>
      </c>
      <c r="G9" s="9">
        <v>0</v>
      </c>
      <c r="H9" s="9">
        <v>120</v>
      </c>
      <c r="I9" s="10">
        <f>IF(SUM(B9:F9,H9)=0,"",SUM(B9:F9,H9))</f>
        <v>740</v>
      </c>
      <c r="J9" s="10">
        <f>IF(I9="","",1440-I9)</f>
        <v>700</v>
      </c>
      <c r="K9" s="11" t="s">
        <v>49</v>
      </c>
      <c r="L9" s="11" t="s">
        <v>50</v>
      </c>
      <c r="M9" s="11" t="s">
        <v>51</v>
      </c>
      <c r="N9" s="12" t="s">
        <v>62</v>
      </c>
    </row>
    <row r="10" spans="1:14" ht="28.8" x14ac:dyDescent="0.3">
      <c r="A10" s="8">
        <v>46256</v>
      </c>
      <c r="B10" s="9">
        <v>510</v>
      </c>
      <c r="C10" s="9">
        <v>0</v>
      </c>
      <c r="D10" s="9">
        <v>35</v>
      </c>
      <c r="E10" s="9">
        <v>30</v>
      </c>
      <c r="F10" s="9">
        <v>0</v>
      </c>
      <c r="G10" s="9">
        <v>0</v>
      </c>
      <c r="H10" s="9">
        <v>155</v>
      </c>
      <c r="I10" s="10">
        <f>IF(SUM(B10:F10,H10)=0,"",SUM(B10:F10,H10))</f>
        <v>730</v>
      </c>
      <c r="J10" s="10">
        <f>IF(I10="","",1440-I10)</f>
        <v>710</v>
      </c>
      <c r="K10" s="11" t="s">
        <v>49</v>
      </c>
      <c r="L10" s="11" t="s">
        <v>59</v>
      </c>
      <c r="M10" s="11" t="s">
        <v>51</v>
      </c>
      <c r="N10" s="12" t="s">
        <v>63</v>
      </c>
    </row>
    <row r="11" spans="1:14" ht="28.8" x14ac:dyDescent="0.3">
      <c r="A11" s="8">
        <v>46257</v>
      </c>
      <c r="B11" s="9">
        <v>540</v>
      </c>
      <c r="C11" s="9">
        <v>20</v>
      </c>
      <c r="D11" s="9">
        <v>80</v>
      </c>
      <c r="E11" s="9">
        <v>100</v>
      </c>
      <c r="F11" s="9">
        <v>0</v>
      </c>
      <c r="G11" s="9">
        <v>0</v>
      </c>
      <c r="H11" s="9">
        <v>90</v>
      </c>
      <c r="I11" s="10">
        <f>IF(SUM(B11:F11,H11)=0,"",SUM(B11:F11,H11))</f>
        <v>830</v>
      </c>
      <c r="J11" s="10">
        <f>IF(I11="","",1440-I11)</f>
        <v>610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43.2" x14ac:dyDescent="0.3">
      <c r="A12" s="8">
        <v>46258</v>
      </c>
      <c r="B12" s="9">
        <v>370</v>
      </c>
      <c r="C12" s="9">
        <v>10</v>
      </c>
      <c r="D12" s="9">
        <v>20</v>
      </c>
      <c r="E12" s="9">
        <v>60</v>
      </c>
      <c r="F12" s="9">
        <v>200</v>
      </c>
      <c r="G12" s="9">
        <v>4</v>
      </c>
      <c r="H12" s="9">
        <v>80</v>
      </c>
      <c r="I12" s="10">
        <f>IF(SUM(B12:F12,H12)=0,"",SUM(B12:F12,H12))</f>
        <v>740</v>
      </c>
      <c r="J12" s="10">
        <f>IF(I12="","",1440-I12)</f>
        <v>700</v>
      </c>
      <c r="K12" s="11" t="s">
        <v>49</v>
      </c>
      <c r="L12" s="11" t="s">
        <v>50</v>
      </c>
      <c r="M12" s="11" t="s">
        <v>51</v>
      </c>
      <c r="N12" s="12" t="s">
        <v>66</v>
      </c>
    </row>
    <row r="13" spans="1:14" ht="28.8" x14ac:dyDescent="0.3">
      <c r="A13" s="8">
        <v>46259</v>
      </c>
      <c r="B13" s="9">
        <v>360</v>
      </c>
      <c r="C13" s="9">
        <v>20</v>
      </c>
      <c r="D13" s="9">
        <v>40</v>
      </c>
      <c r="E13" s="9">
        <v>50</v>
      </c>
      <c r="F13" s="9">
        <v>250</v>
      </c>
      <c r="G13" s="9">
        <v>5</v>
      </c>
      <c r="H13" s="9">
        <v>90</v>
      </c>
      <c r="I13" s="10">
        <f>IF(SUM(B13:F13,H13)=0,"",SUM(B13:F13,H13))</f>
        <v>810</v>
      </c>
      <c r="J13" s="10">
        <f>IF(I13="","",1440-I13)</f>
        <v>630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ref="I6:I69" si="0">IF(SUM(B15:F15,H15)=0,"",SUM(B15:F15,H15))</f>
        <v/>
      </c>
      <c r="J15" s="10" t="str">
        <f t="shared" ref="J6:J69" si="1">IF(I15="","",1440-I15)</f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15:J401 J6:J1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15:K401 K6:K13" xr:uid="{00000000-0002-0000-0100-000000000000}">
      <formula1>"Excellent,Good,Neutral,Low,Stressed"</formula1>
      <formula2>0</formula2>
    </dataValidation>
    <dataValidation type="list" allowBlank="1" prompt="Select today's satisfaction level" sqref="L15:L401 L6:L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15:M401 M6:M13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2026-08-25T16:44:54Z</dcterms:modified>
  <dc:language>en-US</dc:language>
</cp:coreProperties>
</file>