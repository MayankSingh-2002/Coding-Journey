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26FF66F9-BD7E-4B69-8968-8D629ACB22A7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6" i="2" l="1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J399" i="2"/>
  <c r="I399" i="2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J391" i="2"/>
  <c r="I391" i="2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J383" i="2"/>
  <c r="I383" i="2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J367" i="2"/>
  <c r="I367" i="2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J359" i="2"/>
  <c r="I359" i="2"/>
  <c r="I358" i="2"/>
  <c r="J358" i="2" s="1"/>
  <c r="I357" i="2"/>
  <c r="J357" i="2" s="1"/>
  <c r="I356" i="2"/>
  <c r="J356" i="2" s="1"/>
  <c r="J355" i="2"/>
  <c r="I355" i="2"/>
  <c r="I354" i="2"/>
  <c r="J354" i="2" s="1"/>
  <c r="I353" i="2"/>
  <c r="J353" i="2" s="1"/>
  <c r="I352" i="2"/>
  <c r="J352" i="2" s="1"/>
  <c r="J351" i="2"/>
  <c r="I351" i="2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J335" i="2"/>
  <c r="I335" i="2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J327" i="2"/>
  <c r="I327" i="2"/>
  <c r="I326" i="2"/>
  <c r="J326" i="2" s="1"/>
  <c r="I325" i="2"/>
  <c r="J325" i="2" s="1"/>
  <c r="I324" i="2"/>
  <c r="J324" i="2" s="1"/>
  <c r="J323" i="2"/>
  <c r="I323" i="2"/>
  <c r="I322" i="2"/>
  <c r="J322" i="2" s="1"/>
  <c r="I321" i="2"/>
  <c r="J321" i="2" s="1"/>
  <c r="I320" i="2"/>
  <c r="J320" i="2" s="1"/>
  <c r="J319" i="2"/>
  <c r="I319" i="2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J303" i="2"/>
  <c r="I303" i="2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J291" i="2"/>
  <c r="I291" i="2"/>
  <c r="I290" i="2"/>
  <c r="J290" i="2" s="1"/>
  <c r="I289" i="2"/>
  <c r="J289" i="2" s="1"/>
  <c r="I288" i="2"/>
  <c r="J288" i="2" s="1"/>
  <c r="J287" i="2"/>
  <c r="I287" i="2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J275" i="2"/>
  <c r="I275" i="2"/>
  <c r="I274" i="2"/>
  <c r="J274" i="2" s="1"/>
  <c r="I273" i="2"/>
  <c r="J273" i="2" s="1"/>
  <c r="I272" i="2"/>
  <c r="J272" i="2" s="1"/>
  <c r="J271" i="2"/>
  <c r="I271" i="2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J259" i="2"/>
  <c r="I259" i="2"/>
  <c r="I258" i="2"/>
  <c r="J258" i="2" s="1"/>
  <c r="I257" i="2"/>
  <c r="J257" i="2" s="1"/>
  <c r="I256" i="2"/>
  <c r="J256" i="2" s="1"/>
  <c r="J255" i="2"/>
  <c r="I255" i="2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J243" i="2"/>
  <c r="I243" i="2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J227" i="2"/>
  <c r="I227" i="2"/>
  <c r="I226" i="2"/>
  <c r="J226" i="2" s="1"/>
  <c r="I225" i="2"/>
  <c r="J225" i="2" s="1"/>
  <c r="I224" i="2"/>
  <c r="J224" i="2" s="1"/>
  <c r="J223" i="2"/>
  <c r="I223" i="2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J211" i="2"/>
  <c r="I211" i="2"/>
  <c r="I210" i="2"/>
  <c r="J210" i="2" s="1"/>
  <c r="I209" i="2"/>
  <c r="J209" i="2" s="1"/>
  <c r="I208" i="2"/>
  <c r="J208" i="2" s="1"/>
  <c r="J207" i="2"/>
  <c r="I207" i="2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J199" i="2"/>
  <c r="I199" i="2"/>
  <c r="I198" i="2"/>
  <c r="J198" i="2" s="1"/>
  <c r="I197" i="2"/>
  <c r="J197" i="2" s="1"/>
  <c r="I196" i="2"/>
  <c r="J196" i="2" s="1"/>
  <c r="J195" i="2"/>
  <c r="I195" i="2"/>
  <c r="I194" i="2"/>
  <c r="J194" i="2" s="1"/>
  <c r="I193" i="2"/>
  <c r="J193" i="2" s="1"/>
  <c r="I192" i="2"/>
  <c r="J192" i="2" s="1"/>
  <c r="J191" i="2"/>
  <c r="I191" i="2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J179" i="2"/>
  <c r="I179" i="2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J172" i="2"/>
  <c r="I172" i="2"/>
  <c r="I171" i="2"/>
  <c r="J171" i="2" s="1"/>
  <c r="I170" i="2"/>
  <c r="J170" i="2" s="1"/>
  <c r="I169" i="2"/>
  <c r="J169" i="2" s="1"/>
  <c r="J168" i="2"/>
  <c r="I168" i="2"/>
  <c r="I167" i="2"/>
  <c r="J167" i="2" s="1"/>
  <c r="J166" i="2"/>
  <c r="I166" i="2"/>
  <c r="I165" i="2"/>
  <c r="J165" i="2" s="1"/>
  <c r="J164" i="2"/>
  <c r="I164" i="2"/>
  <c r="J163" i="2"/>
  <c r="I163" i="2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J155" i="2"/>
  <c r="I155" i="2"/>
  <c r="J154" i="2"/>
  <c r="I154" i="2"/>
  <c r="I153" i="2"/>
  <c r="J153" i="2" s="1"/>
  <c r="J152" i="2"/>
  <c r="I152" i="2"/>
  <c r="I151" i="2"/>
  <c r="J151" i="2" s="1"/>
  <c r="I150" i="2"/>
  <c r="J150" i="2" s="1"/>
  <c r="I149" i="2"/>
  <c r="J149" i="2" s="1"/>
  <c r="I148" i="2"/>
  <c r="J148" i="2" s="1"/>
  <c r="I147" i="2"/>
  <c r="J147" i="2" s="1"/>
  <c r="J146" i="2"/>
  <c r="I146" i="2"/>
  <c r="I145" i="2"/>
  <c r="J145" i="2" s="1"/>
  <c r="I144" i="2"/>
  <c r="J144" i="2" s="1"/>
  <c r="J143" i="2"/>
  <c r="I143" i="2"/>
  <c r="I142" i="2"/>
  <c r="J142" i="2" s="1"/>
  <c r="I141" i="2"/>
  <c r="J141" i="2" s="1"/>
  <c r="J140" i="2"/>
  <c r="I140" i="2"/>
  <c r="I139" i="2"/>
  <c r="J139" i="2" s="1"/>
  <c r="I138" i="2"/>
  <c r="J138" i="2" s="1"/>
  <c r="I137" i="2"/>
  <c r="J137" i="2" s="1"/>
  <c r="I136" i="2"/>
  <c r="J136" i="2" s="1"/>
  <c r="I135" i="2"/>
  <c r="J135" i="2" s="1"/>
  <c r="J134" i="2"/>
  <c r="I134" i="2"/>
  <c r="I133" i="2"/>
  <c r="J133" i="2" s="1"/>
  <c r="J132" i="2"/>
  <c r="I132" i="2"/>
  <c r="J131" i="2"/>
  <c r="I131" i="2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J123" i="2"/>
  <c r="I123" i="2"/>
  <c r="J122" i="2"/>
  <c r="I122" i="2"/>
  <c r="I121" i="2"/>
  <c r="J121" i="2" s="1"/>
  <c r="J120" i="2"/>
  <c r="I120" i="2"/>
  <c r="I119" i="2"/>
  <c r="J119" i="2" s="1"/>
  <c r="I118" i="2"/>
  <c r="J118" i="2" s="1"/>
  <c r="I117" i="2"/>
  <c r="J117" i="2" s="1"/>
  <c r="I116" i="2"/>
  <c r="J116" i="2" s="1"/>
  <c r="I115" i="2"/>
  <c r="J115" i="2" s="1"/>
  <c r="J114" i="2"/>
  <c r="I114" i="2"/>
  <c r="I113" i="2"/>
  <c r="J113" i="2" s="1"/>
  <c r="I112" i="2"/>
  <c r="J112" i="2" s="1"/>
  <c r="J111" i="2"/>
  <c r="I111" i="2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J102" i="2"/>
  <c r="I102" i="2"/>
  <c r="I101" i="2"/>
  <c r="J101" i="2" s="1"/>
  <c r="J100" i="2"/>
  <c r="I100" i="2"/>
  <c r="J99" i="2"/>
  <c r="I99" i="2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J91" i="2"/>
  <c r="I91" i="2"/>
  <c r="J90" i="2"/>
  <c r="I90" i="2"/>
  <c r="I89" i="2"/>
  <c r="J89" i="2" s="1"/>
  <c r="J88" i="2"/>
  <c r="I88" i="2"/>
  <c r="I87" i="2"/>
  <c r="J87" i="2" s="1"/>
  <c r="I86" i="2"/>
  <c r="J86" i="2" s="1"/>
  <c r="I85" i="2"/>
  <c r="J85" i="2" s="1"/>
  <c r="I84" i="2"/>
  <c r="J84" i="2" s="1"/>
  <c r="I83" i="2"/>
  <c r="J83" i="2" s="1"/>
  <c r="J82" i="2"/>
  <c r="I82" i="2"/>
  <c r="I81" i="2"/>
  <c r="J81" i="2" s="1"/>
  <c r="I80" i="2"/>
  <c r="J80" i="2" s="1"/>
  <c r="J79" i="2"/>
  <c r="I79" i="2"/>
  <c r="I78" i="2"/>
  <c r="J78" i="2" s="1"/>
  <c r="I77" i="2"/>
  <c r="J77" i="2" s="1"/>
  <c r="J76" i="2"/>
  <c r="I76" i="2"/>
  <c r="I75" i="2"/>
  <c r="J75" i="2" s="1"/>
  <c r="I74" i="2"/>
  <c r="J74" i="2" s="1"/>
  <c r="I73" i="2"/>
  <c r="J73" i="2" s="1"/>
  <c r="I72" i="2"/>
  <c r="J72" i="2" s="1"/>
  <c r="I71" i="2"/>
  <c r="J71" i="2" s="1"/>
  <c r="J70" i="2"/>
  <c r="I70" i="2"/>
  <c r="I69" i="2"/>
  <c r="J69" i="2" s="1"/>
  <c r="J68" i="2"/>
  <c r="I68" i="2"/>
  <c r="J67" i="2"/>
  <c r="I67" i="2"/>
  <c r="I66" i="2"/>
  <c r="J66" i="2" s="1"/>
  <c r="I65" i="2"/>
  <c r="J65" i="2" s="1"/>
  <c r="J64" i="2"/>
  <c r="I64" i="2"/>
  <c r="I63" i="2"/>
  <c r="J63" i="2" s="1"/>
  <c r="I62" i="2"/>
  <c r="J62" i="2" s="1"/>
  <c r="I61" i="2"/>
  <c r="J61" i="2" s="1"/>
  <c r="J60" i="2"/>
  <c r="I60" i="2"/>
  <c r="I59" i="2"/>
  <c r="J59" i="2" s="1"/>
  <c r="I58" i="2"/>
  <c r="J58" i="2" s="1"/>
  <c r="I57" i="2"/>
  <c r="J57" i="2" s="1"/>
  <c r="J56" i="2"/>
  <c r="I56" i="2"/>
  <c r="I55" i="2"/>
  <c r="J55" i="2" s="1"/>
  <c r="I54" i="2"/>
  <c r="J54" i="2" s="1"/>
  <c r="I53" i="2"/>
  <c r="J53" i="2" s="1"/>
  <c r="J52" i="2"/>
  <c r="I52" i="2"/>
  <c r="I51" i="2"/>
  <c r="J51" i="2" s="1"/>
  <c r="I50" i="2"/>
  <c r="J50" i="2" s="1"/>
  <c r="I49" i="2"/>
  <c r="J49" i="2" s="1"/>
  <c r="J48" i="2"/>
  <c r="I48" i="2"/>
  <c r="I47" i="2"/>
  <c r="J47" i="2" s="1"/>
  <c r="I46" i="2"/>
  <c r="J46" i="2" s="1"/>
  <c r="I45" i="2"/>
  <c r="J45" i="2" s="1"/>
  <c r="J44" i="2"/>
  <c r="I44" i="2"/>
  <c r="I43" i="2"/>
  <c r="J43" i="2" s="1"/>
  <c r="I42" i="2"/>
  <c r="J42" i="2" s="1"/>
  <c r="I41" i="2"/>
  <c r="J41" i="2" s="1"/>
  <c r="J40" i="2"/>
  <c r="I40" i="2"/>
  <c r="I39" i="2"/>
  <c r="J39" i="2" s="1"/>
  <c r="I38" i="2"/>
  <c r="J38" i="2" s="1"/>
  <c r="I37" i="2"/>
  <c r="J37" i="2" s="1"/>
  <c r="J36" i="2"/>
  <c r="I36" i="2"/>
  <c r="I35" i="2"/>
  <c r="J35" i="2" s="1"/>
  <c r="I34" i="2"/>
  <c r="J34" i="2" s="1"/>
  <c r="I33" i="2"/>
  <c r="J33" i="2" s="1"/>
  <c r="J32" i="2"/>
  <c r="I32" i="2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J24" i="2"/>
  <c r="I24" i="2"/>
  <c r="I23" i="2"/>
  <c r="J23" i="2" s="1"/>
  <c r="I22" i="2"/>
  <c r="J22" i="2" s="1"/>
  <c r="I21" i="2"/>
  <c r="J21" i="2" s="1"/>
  <c r="J20" i="2"/>
  <c r="I20" i="2"/>
  <c r="I19" i="2"/>
  <c r="J19" i="2" s="1"/>
  <c r="I18" i="2"/>
  <c r="J18" i="2" s="1"/>
  <c r="I17" i="2"/>
  <c r="J17" i="2" s="1"/>
  <c r="J16" i="2"/>
  <c r="I16" i="2"/>
  <c r="I15" i="2"/>
  <c r="J15" i="2" s="1"/>
  <c r="I14" i="2"/>
  <c r="J14" i="2" s="1"/>
  <c r="I13" i="2"/>
  <c r="J13" i="2" s="1"/>
  <c r="J12" i="2"/>
  <c r="I12" i="2"/>
  <c r="I11" i="2"/>
  <c r="J11" i="2" s="1"/>
  <c r="I10" i="2"/>
  <c r="J10" i="2" s="1"/>
  <c r="I9" i="2"/>
  <c r="J9" i="2" s="1"/>
  <c r="J8" i="2"/>
  <c r="I8" i="2"/>
  <c r="I7" i="2"/>
  <c r="J7" i="2" s="1"/>
  <c r="I6" i="2"/>
  <c r="J6" i="2" s="1"/>
</calcChain>
</file>

<file path=xl/sharedStrings.xml><?xml version="1.0" encoding="utf-8"?>
<sst xmlns="http://schemas.openxmlformats.org/spreadsheetml/2006/main" count="213" uniqueCount="104">
  <si>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</si>
  <si>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</si>
  <si>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</si>
  <si>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</si>
  <si>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</si>
  <si>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</si>
  <si>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</si>
  <si>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</si>
  <si>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</si>
  <si>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</si>
  <si>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</si>
  <si>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</si>
  <si>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</si>
  <si>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</si>
  <si>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</si>
  <si>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</si>
  <si>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</si>
  <si>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</si>
  <si>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</si>
  <si>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</si>
  <si>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</si>
  <si>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</si>
  <si>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</si>
  <si>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</si>
  <si>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</si>
  <si>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</si>
  <si>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</si>
  <si>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</si>
  <si>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</si>
  <si>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</si>
  <si>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</si>
  <si>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</si>
  <si>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</si>
  <si>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</si>
  <si>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</si>
  <si>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</si>
  <si>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</si>
  <si>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</si>
  <si>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</si>
  <si>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</si>
  <si>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</si>
  <si>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</si>
  <si>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</si>
  <si>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</si>
  <si>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</si>
  <si>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</si>
  <si>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</si>
  <si>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</si>
  <si>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</si>
  <si>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</si>
  <si>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</si>
  <si>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</si>
  <si>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</si>
  <si>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</si>
  <si>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</si>
  <si>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</si>
  <si>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</si>
  <si>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</si>
  <si>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</si>
  <si>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</si>
  <si>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</si>
  <si>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</si>
  <si>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</si>
  <si>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</si>
  <si>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</si>
  <si>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</si>
  <si>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</si>
  <si>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</si>
  <si>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</si>
  <si>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</si>
  <si>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</si>
  <si>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</si>
  <si>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</si>
  <si>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</si>
  <si>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</si>
  <si>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</si>
  <si>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</si>
  <si>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</si>
  <si>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</si>
  <si>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</si>
  <si>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</si>
  <si>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</si>
  <si>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</si>
  <si>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</si>
  <si>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</si>
  <si>
    <t>Need to prepare for Analytical Skills upcoming CA exams.</t>
  </si>
  <si>
    <t>Sometimes all you need is just a break from everything.</t>
  </si>
  <si>
    <t>Excellent</t>
  </si>
  <si>
    <t>Very Satisfied</t>
  </si>
  <si>
    <t>Today I gave mars test. I need to do better in python.</t>
  </si>
  <si>
    <t>Today I did nothing productive and just wasted my day.</t>
  </si>
  <si>
    <t>I should have better control on my emotions.</t>
  </si>
  <si>
    <t xml:space="preserve">Analytical Skills test date has been out. </t>
  </si>
  <si>
    <t>Feeling stressed I don't know how I would be able to do better.</t>
  </si>
  <si>
    <t>Solving Analytical Problems for two period is very exhausting.</t>
  </si>
  <si>
    <t>Why do LPU held CA's exams online if they can't manage to do that properly. They have ruined my whole day.</t>
  </si>
  <si>
    <t>I really needed this Sunday. This week was so overwhelming.</t>
  </si>
  <si>
    <t>Today is the first date of filling my excel routine data.</t>
  </si>
  <si>
    <t>Attending 7 classes is so exhausting.</t>
  </si>
  <si>
    <t>Having no classes helps me more in my studies.</t>
  </si>
  <si>
    <t>On sundays I can do study and rest both.</t>
  </si>
  <si>
    <t>I am  weak in communication need to work on that.</t>
  </si>
  <si>
    <t>August</t>
  </si>
  <si>
    <t>I was having a bad day and I even scored badly in one of my CA's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</si>
</sst>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8" fillId="0" borderId="5" xfId="0" applyFont="1" applyBorder="1"/>
  </cellXfs>
  <cellStyles count="1">
    <cellStyle name="Normal" xfId="0" builtinId="0"/>
  </cellStyles>
  <dxfs count="4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6"/>
  <sheetViews>
    <sheetView showGridLines="0" tabSelected="1" zoomScale="8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sqref="A1:XFD104857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5" customHeight="1" x14ac:dyDescent="0.3">
      <c r="A2" s="6" t="s">
        <v>30</v>
      </c>
      <c r="B2" s="18" t="s">
        <v>53</v>
      </c>
      <c r="C2" s="20"/>
      <c r="D2" s="19"/>
      <c r="E2" s="6" t="s">
        <v>31</v>
      </c>
      <c r="F2" s="18">
        <v>12612197</v>
      </c>
      <c r="G2" s="19"/>
    </row>
    <row r="3" spans="1:14" ht="19.5" customHeight="1" x14ac:dyDescent="0.3">
      <c r="A3" s="6" t="s">
        <v>32</v>
      </c>
      <c r="B3" s="18" t="s">
        <v>54</v>
      </c>
      <c r="C3" s="20"/>
      <c r="D3" s="19"/>
      <c r="E3" s="6" t="s">
        <v>33</v>
      </c>
      <c r="F3" s="18" t="s">
        <v>102</v>
      </c>
      <c r="G3" s="19"/>
    </row>
    <row r="4" spans="1:14" x14ac:dyDescent="0.3">
      <c r="A4" s="21" t="s">
        <v>34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4">
        <v>46247</v>
      </c>
      <c r="B6" s="15">
        <v>450</v>
      </c>
      <c r="C6" s="15">
        <v>20</v>
      </c>
      <c r="D6" s="15">
        <v>30</v>
      </c>
      <c r="E6" s="15">
        <v>0</v>
      </c>
      <c r="F6" s="15">
        <v>300</v>
      </c>
      <c r="G6" s="15">
        <v>6</v>
      </c>
      <c r="H6" s="15">
        <v>240</v>
      </c>
      <c r="I6" s="16">
        <f t="shared" ref="I6:I69" si="0">IF(SUM(B6:F6,H6)=0,"",SUM(B6:F6,H6))</f>
        <v>1040</v>
      </c>
      <c r="J6" s="16">
        <f t="shared" ref="J6:J69" si="1">IF(I6="","",1440-I6)</f>
        <v>400</v>
      </c>
      <c r="K6" s="17" t="s">
        <v>49</v>
      </c>
      <c r="L6" s="17" t="s">
        <v>50</v>
      </c>
      <c r="M6" s="17" t="s">
        <v>63</v>
      </c>
      <c r="N6" s="17" t="s">
        <v>97</v>
      </c>
    </row>
    <row r="7" spans="1:14" ht="28.8" x14ac:dyDescent="0.3">
      <c r="A7" s="14">
        <v>46248</v>
      </c>
      <c r="B7" s="15">
        <v>360</v>
      </c>
      <c r="C7" s="15">
        <v>15</v>
      </c>
      <c r="D7" s="15">
        <v>20</v>
      </c>
      <c r="E7" s="15">
        <v>25</v>
      </c>
      <c r="F7" s="15">
        <v>350</v>
      </c>
      <c r="G7" s="15">
        <v>7</v>
      </c>
      <c r="H7" s="15">
        <v>180</v>
      </c>
      <c r="I7" s="16">
        <f t="shared" si="0"/>
        <v>950</v>
      </c>
      <c r="J7" s="16">
        <f t="shared" si="1"/>
        <v>490</v>
      </c>
      <c r="K7" s="17" t="s">
        <v>55</v>
      </c>
      <c r="L7" s="17" t="s">
        <v>56</v>
      </c>
      <c r="M7" s="17" t="s">
        <v>55</v>
      </c>
      <c r="N7" s="17" t="s">
        <v>98</v>
      </c>
    </row>
    <row r="8" spans="1:14" ht="28.8" x14ac:dyDescent="0.3">
      <c r="A8" s="14">
        <v>46249</v>
      </c>
      <c r="B8" s="15">
        <v>510</v>
      </c>
      <c r="C8" s="15">
        <v>0</v>
      </c>
      <c r="D8" s="15">
        <v>40</v>
      </c>
      <c r="E8" s="15">
        <v>60</v>
      </c>
      <c r="F8" s="15">
        <v>0</v>
      </c>
      <c r="G8" s="15">
        <v>0</v>
      </c>
      <c r="H8" s="15">
        <v>150</v>
      </c>
      <c r="I8" s="16">
        <f t="shared" si="0"/>
        <v>760</v>
      </c>
      <c r="J8" s="16">
        <f t="shared" si="1"/>
        <v>680</v>
      </c>
      <c r="K8" s="17" t="s">
        <v>58</v>
      </c>
      <c r="L8" s="17" t="s">
        <v>50</v>
      </c>
      <c r="M8" s="17" t="s">
        <v>51</v>
      </c>
      <c r="N8" s="17" t="s">
        <v>99</v>
      </c>
    </row>
    <row r="9" spans="1:14" ht="28.8" x14ac:dyDescent="0.3">
      <c r="A9" s="14">
        <v>46250</v>
      </c>
      <c r="B9" s="15">
        <v>450</v>
      </c>
      <c r="C9" s="15">
        <v>10</v>
      </c>
      <c r="D9" s="15">
        <v>35</v>
      </c>
      <c r="E9" s="15">
        <v>45</v>
      </c>
      <c r="F9" s="15">
        <v>0</v>
      </c>
      <c r="G9" s="15">
        <v>0</v>
      </c>
      <c r="H9" s="15">
        <v>90</v>
      </c>
      <c r="I9" s="16">
        <f t="shared" si="0"/>
        <v>630</v>
      </c>
      <c r="J9" s="16">
        <f t="shared" si="1"/>
        <v>810</v>
      </c>
      <c r="K9" s="17" t="s">
        <v>58</v>
      </c>
      <c r="L9" s="17" t="s">
        <v>70</v>
      </c>
      <c r="M9" s="17" t="s">
        <v>51</v>
      </c>
      <c r="N9" s="17" t="s">
        <v>100</v>
      </c>
    </row>
    <row r="10" spans="1:14" ht="43.2" x14ac:dyDescent="0.3">
      <c r="A10" s="14">
        <v>46251</v>
      </c>
      <c r="B10" s="15">
        <v>380</v>
      </c>
      <c r="C10" s="15">
        <v>30</v>
      </c>
      <c r="D10" s="15">
        <v>20</v>
      </c>
      <c r="E10" s="15">
        <v>40</v>
      </c>
      <c r="F10" s="15">
        <v>200</v>
      </c>
      <c r="G10" s="15">
        <v>4</v>
      </c>
      <c r="H10" s="15">
        <v>210</v>
      </c>
      <c r="I10" s="16">
        <f t="shared" si="0"/>
        <v>880</v>
      </c>
      <c r="J10" s="16">
        <f t="shared" si="1"/>
        <v>560</v>
      </c>
      <c r="K10" s="17" t="s">
        <v>58</v>
      </c>
      <c r="L10" s="17" t="s">
        <v>58</v>
      </c>
      <c r="M10" s="17" t="s">
        <v>55</v>
      </c>
      <c r="N10" s="17" t="s">
        <v>101</v>
      </c>
    </row>
    <row r="11" spans="1:14" ht="28.8" x14ac:dyDescent="0.3">
      <c r="A11" s="14">
        <v>46252</v>
      </c>
      <c r="B11" s="15">
        <v>320</v>
      </c>
      <c r="C11" s="15">
        <v>5</v>
      </c>
      <c r="D11" s="15">
        <v>28</v>
      </c>
      <c r="E11" s="15">
        <v>17</v>
      </c>
      <c r="F11" s="15">
        <v>300</v>
      </c>
      <c r="G11" s="15">
        <v>6</v>
      </c>
      <c r="H11" s="15">
        <v>45</v>
      </c>
      <c r="I11" s="16">
        <f t="shared" si="0"/>
        <v>715</v>
      </c>
      <c r="J11" s="16">
        <f t="shared" si="1"/>
        <v>725</v>
      </c>
      <c r="K11" s="17" t="s">
        <v>55</v>
      </c>
      <c r="L11" s="17" t="s">
        <v>56</v>
      </c>
      <c r="M11" s="17" t="s">
        <v>55</v>
      </c>
      <c r="N11" s="17" t="s">
        <v>57</v>
      </c>
    </row>
    <row r="12" spans="1:14" ht="28.8" x14ac:dyDescent="0.3">
      <c r="A12" s="14">
        <v>46253</v>
      </c>
      <c r="B12" s="15">
        <v>390</v>
      </c>
      <c r="C12" s="15">
        <v>18</v>
      </c>
      <c r="D12" s="15">
        <v>25</v>
      </c>
      <c r="E12" s="15">
        <v>70</v>
      </c>
      <c r="F12" s="15">
        <v>350</v>
      </c>
      <c r="G12" s="15">
        <v>7</v>
      </c>
      <c r="H12" s="15">
        <v>60</v>
      </c>
      <c r="I12" s="16">
        <f t="shared" si="0"/>
        <v>913</v>
      </c>
      <c r="J12" s="16">
        <f t="shared" si="1"/>
        <v>527</v>
      </c>
      <c r="K12" s="17" t="s">
        <v>58</v>
      </c>
      <c r="L12" s="17" t="s">
        <v>58</v>
      </c>
      <c r="M12" s="17" t="s">
        <v>51</v>
      </c>
      <c r="N12" s="17" t="s">
        <v>59</v>
      </c>
    </row>
    <row r="13" spans="1:14" ht="28.8" x14ac:dyDescent="0.3">
      <c r="A13" s="14">
        <v>46254</v>
      </c>
      <c r="B13" s="15">
        <v>370</v>
      </c>
      <c r="C13" s="15">
        <v>45</v>
      </c>
      <c r="D13" s="15">
        <v>40</v>
      </c>
      <c r="E13" s="15">
        <v>55</v>
      </c>
      <c r="F13" s="15">
        <v>150</v>
      </c>
      <c r="G13" s="15">
        <v>3</v>
      </c>
      <c r="H13" s="15">
        <v>55</v>
      </c>
      <c r="I13" s="16">
        <f t="shared" si="0"/>
        <v>715</v>
      </c>
      <c r="J13" s="16">
        <f t="shared" si="1"/>
        <v>725</v>
      </c>
      <c r="K13" s="17" t="s">
        <v>55</v>
      </c>
      <c r="L13" s="17" t="s">
        <v>56</v>
      </c>
      <c r="M13" s="17" t="s">
        <v>55</v>
      </c>
      <c r="N13" s="17" t="s">
        <v>60</v>
      </c>
    </row>
    <row r="14" spans="1:14" ht="28.8" x14ac:dyDescent="0.3">
      <c r="A14" s="14">
        <v>46255</v>
      </c>
      <c r="B14" s="15">
        <v>440</v>
      </c>
      <c r="C14" s="15">
        <v>15</v>
      </c>
      <c r="D14" s="15">
        <v>70</v>
      </c>
      <c r="E14" s="15">
        <v>95</v>
      </c>
      <c r="F14" s="15">
        <v>0</v>
      </c>
      <c r="G14" s="15">
        <v>0</v>
      </c>
      <c r="H14" s="15">
        <v>120</v>
      </c>
      <c r="I14" s="16">
        <f t="shared" si="0"/>
        <v>740</v>
      </c>
      <c r="J14" s="16">
        <f t="shared" si="1"/>
        <v>700</v>
      </c>
      <c r="K14" s="17" t="s">
        <v>49</v>
      </c>
      <c r="L14" s="17" t="s">
        <v>50</v>
      </c>
      <c r="M14" s="17" t="s">
        <v>51</v>
      </c>
      <c r="N14" s="17" t="s">
        <v>61</v>
      </c>
    </row>
    <row r="15" spans="1:14" ht="43.2" x14ac:dyDescent="0.3">
      <c r="A15" s="14">
        <v>46256</v>
      </c>
      <c r="B15" s="15">
        <v>510</v>
      </c>
      <c r="C15" s="15">
        <v>0</v>
      </c>
      <c r="D15" s="15">
        <v>35</v>
      </c>
      <c r="E15" s="15">
        <v>30</v>
      </c>
      <c r="F15" s="15">
        <v>0</v>
      </c>
      <c r="G15" s="15">
        <v>0</v>
      </c>
      <c r="H15" s="15">
        <v>155</v>
      </c>
      <c r="I15" s="16">
        <f t="shared" si="0"/>
        <v>730</v>
      </c>
      <c r="J15" s="16">
        <f t="shared" si="1"/>
        <v>710</v>
      </c>
      <c r="K15" s="17" t="s">
        <v>49</v>
      </c>
      <c r="L15" s="17" t="s">
        <v>58</v>
      </c>
      <c r="M15" s="17" t="s">
        <v>51</v>
      </c>
      <c r="N15" s="17" t="s">
        <v>62</v>
      </c>
    </row>
    <row r="16" spans="1:14" ht="43.2" x14ac:dyDescent="0.3">
      <c r="A16" s="14">
        <v>46257</v>
      </c>
      <c r="B16" s="15">
        <v>540</v>
      </c>
      <c r="C16" s="15">
        <v>20</v>
      </c>
      <c r="D16" s="15">
        <v>80</v>
      </c>
      <c r="E16" s="15">
        <v>100</v>
      </c>
      <c r="F16" s="15">
        <v>0</v>
      </c>
      <c r="G16" s="15">
        <v>0</v>
      </c>
      <c r="H16" s="15">
        <v>90</v>
      </c>
      <c r="I16" s="16">
        <f t="shared" si="0"/>
        <v>830</v>
      </c>
      <c r="J16" s="16">
        <f t="shared" si="1"/>
        <v>610</v>
      </c>
      <c r="K16" s="17" t="s">
        <v>49</v>
      </c>
      <c r="L16" s="17" t="s">
        <v>50</v>
      </c>
      <c r="M16" s="17" t="s">
        <v>63</v>
      </c>
      <c r="N16" s="17" t="s">
        <v>64</v>
      </c>
    </row>
    <row r="17" spans="1:14" ht="43.2" x14ac:dyDescent="0.3">
      <c r="A17" s="14">
        <v>46258</v>
      </c>
      <c r="B17" s="15">
        <v>370</v>
      </c>
      <c r="C17" s="15">
        <v>10</v>
      </c>
      <c r="D17" s="15">
        <v>20</v>
      </c>
      <c r="E17" s="15">
        <v>60</v>
      </c>
      <c r="F17" s="15">
        <v>200</v>
      </c>
      <c r="G17" s="15">
        <v>4</v>
      </c>
      <c r="H17" s="15">
        <v>80</v>
      </c>
      <c r="I17" s="16">
        <f t="shared" si="0"/>
        <v>740</v>
      </c>
      <c r="J17" s="16">
        <f t="shared" si="1"/>
        <v>700</v>
      </c>
      <c r="K17" s="17" t="s">
        <v>49</v>
      </c>
      <c r="L17" s="17" t="s">
        <v>50</v>
      </c>
      <c r="M17" s="17" t="s">
        <v>51</v>
      </c>
      <c r="N17" s="17" t="s">
        <v>65</v>
      </c>
    </row>
    <row r="18" spans="1:14" ht="43.2" x14ac:dyDescent="0.3">
      <c r="A18" s="14">
        <v>46259</v>
      </c>
      <c r="B18" s="15">
        <v>360</v>
      </c>
      <c r="C18" s="15">
        <v>20</v>
      </c>
      <c r="D18" s="15">
        <v>40</v>
      </c>
      <c r="E18" s="15">
        <v>50</v>
      </c>
      <c r="F18" s="15">
        <v>250</v>
      </c>
      <c r="G18" s="15">
        <v>5</v>
      </c>
      <c r="H18" s="15">
        <v>90</v>
      </c>
      <c r="I18" s="16">
        <f t="shared" si="0"/>
        <v>810</v>
      </c>
      <c r="J18" s="16">
        <f t="shared" si="1"/>
        <v>630</v>
      </c>
      <c r="K18" s="17" t="s">
        <v>49</v>
      </c>
      <c r="L18" s="17" t="s">
        <v>50</v>
      </c>
      <c r="M18" s="17" t="s">
        <v>51</v>
      </c>
      <c r="N18" s="17" t="s">
        <v>66</v>
      </c>
    </row>
    <row r="19" spans="1:14" ht="43.2" x14ac:dyDescent="0.3">
      <c r="A19" s="14">
        <v>46260</v>
      </c>
      <c r="B19" s="15">
        <v>330</v>
      </c>
      <c r="C19" s="15">
        <v>30</v>
      </c>
      <c r="D19" s="15">
        <v>50</v>
      </c>
      <c r="E19" s="15">
        <v>120</v>
      </c>
      <c r="F19" s="15">
        <v>250</v>
      </c>
      <c r="G19" s="15">
        <v>5</v>
      </c>
      <c r="H19" s="15">
        <v>10</v>
      </c>
      <c r="I19" s="16">
        <f t="shared" si="0"/>
        <v>790</v>
      </c>
      <c r="J19" s="16">
        <f t="shared" si="1"/>
        <v>650</v>
      </c>
      <c r="K19" s="17" t="s">
        <v>55</v>
      </c>
      <c r="L19" s="17" t="s">
        <v>50</v>
      </c>
      <c r="M19" s="17" t="s">
        <v>55</v>
      </c>
      <c r="N19" s="17" t="s">
        <v>67</v>
      </c>
    </row>
    <row r="20" spans="1:14" ht="43.2" x14ac:dyDescent="0.3">
      <c r="A20" s="14">
        <v>46261</v>
      </c>
      <c r="B20" s="15">
        <v>500</v>
      </c>
      <c r="C20" s="15">
        <v>20</v>
      </c>
      <c r="D20" s="15">
        <v>30</v>
      </c>
      <c r="E20" s="15">
        <v>120</v>
      </c>
      <c r="F20" s="15">
        <v>300</v>
      </c>
      <c r="G20" s="15">
        <v>6</v>
      </c>
      <c r="H20" s="15">
        <v>50</v>
      </c>
      <c r="I20" s="16">
        <f t="shared" si="0"/>
        <v>1020</v>
      </c>
      <c r="J20" s="16">
        <f t="shared" si="1"/>
        <v>420</v>
      </c>
      <c r="K20" s="17" t="s">
        <v>49</v>
      </c>
      <c r="L20" s="17" t="s">
        <v>56</v>
      </c>
      <c r="M20" s="17" t="s">
        <v>51</v>
      </c>
      <c r="N20" s="17" t="s">
        <v>68</v>
      </c>
    </row>
    <row r="21" spans="1:14" ht="43.2" x14ac:dyDescent="0.3">
      <c r="A21" s="14">
        <v>46262</v>
      </c>
      <c r="B21" s="15">
        <v>345</v>
      </c>
      <c r="C21" s="15">
        <v>25</v>
      </c>
      <c r="D21" s="15">
        <v>45</v>
      </c>
      <c r="E21" s="15">
        <v>65</v>
      </c>
      <c r="F21" s="15">
        <v>200</v>
      </c>
      <c r="G21" s="15">
        <v>4</v>
      </c>
      <c r="H21" s="15">
        <v>30</v>
      </c>
      <c r="I21" s="16">
        <f t="shared" si="0"/>
        <v>710</v>
      </c>
      <c r="J21" s="16">
        <f t="shared" si="1"/>
        <v>730</v>
      </c>
      <c r="K21" s="17" t="s">
        <v>69</v>
      </c>
      <c r="L21" s="17" t="s">
        <v>70</v>
      </c>
      <c r="M21" s="17" t="s">
        <v>55</v>
      </c>
      <c r="N21" s="17" t="s">
        <v>71</v>
      </c>
    </row>
    <row r="22" spans="1:14" ht="28.8" x14ac:dyDescent="0.3">
      <c r="A22" s="14">
        <v>46263</v>
      </c>
      <c r="B22" s="15">
        <v>480</v>
      </c>
      <c r="C22" s="15">
        <v>15</v>
      </c>
      <c r="D22" s="15">
        <v>40</v>
      </c>
      <c r="E22" s="15">
        <v>50</v>
      </c>
      <c r="F22" s="15">
        <v>0</v>
      </c>
      <c r="G22" s="15">
        <v>0</v>
      </c>
      <c r="H22" s="15">
        <v>100</v>
      </c>
      <c r="I22" s="16">
        <f t="shared" si="0"/>
        <v>685</v>
      </c>
      <c r="J22" s="16">
        <f t="shared" si="1"/>
        <v>755</v>
      </c>
      <c r="K22" s="17" t="s">
        <v>58</v>
      </c>
      <c r="L22" s="17" t="s">
        <v>56</v>
      </c>
      <c r="M22" s="17" t="s">
        <v>55</v>
      </c>
      <c r="N22" s="17" t="s">
        <v>72</v>
      </c>
    </row>
    <row r="23" spans="1:14" ht="43.2" x14ac:dyDescent="0.3">
      <c r="A23" s="14">
        <v>46264</v>
      </c>
      <c r="B23" s="15">
        <v>360</v>
      </c>
      <c r="C23" s="15">
        <v>10</v>
      </c>
      <c r="D23" s="15">
        <v>30</v>
      </c>
      <c r="E23" s="15">
        <v>40</v>
      </c>
      <c r="F23" s="15">
        <v>0</v>
      </c>
      <c r="G23" s="15">
        <v>0</v>
      </c>
      <c r="H23" s="15">
        <v>120</v>
      </c>
      <c r="I23" s="16">
        <f t="shared" si="0"/>
        <v>560</v>
      </c>
      <c r="J23" s="16">
        <f t="shared" si="1"/>
        <v>880</v>
      </c>
      <c r="K23" s="17" t="s">
        <v>58</v>
      </c>
      <c r="L23" s="17" t="s">
        <v>56</v>
      </c>
      <c r="M23" s="17" t="s">
        <v>55</v>
      </c>
      <c r="N23" s="17" t="s">
        <v>73</v>
      </c>
    </row>
    <row r="24" spans="1:14" ht="43.2" x14ac:dyDescent="0.3">
      <c r="A24" s="14">
        <v>46265</v>
      </c>
      <c r="B24" s="15">
        <v>420</v>
      </c>
      <c r="C24" s="15">
        <v>20</v>
      </c>
      <c r="D24" s="15">
        <v>25</v>
      </c>
      <c r="E24" s="15">
        <v>55</v>
      </c>
      <c r="F24" s="15">
        <v>200</v>
      </c>
      <c r="G24" s="15">
        <v>4</v>
      </c>
      <c r="H24" s="15">
        <v>45</v>
      </c>
      <c r="I24" s="16">
        <f t="shared" si="0"/>
        <v>765</v>
      </c>
      <c r="J24" s="16">
        <f t="shared" si="1"/>
        <v>675</v>
      </c>
      <c r="K24" s="17" t="s">
        <v>49</v>
      </c>
      <c r="L24" s="17" t="s">
        <v>58</v>
      </c>
      <c r="M24" s="17" t="s">
        <v>51</v>
      </c>
      <c r="N24" s="17" t="s">
        <v>74</v>
      </c>
    </row>
    <row r="25" spans="1:14" ht="43.2" x14ac:dyDescent="0.3">
      <c r="A25" s="14">
        <v>46266</v>
      </c>
      <c r="B25" s="15">
        <v>375</v>
      </c>
      <c r="C25" s="15">
        <v>10</v>
      </c>
      <c r="D25" s="15">
        <v>20</v>
      </c>
      <c r="E25" s="15">
        <v>120</v>
      </c>
      <c r="F25" s="15">
        <v>200</v>
      </c>
      <c r="G25" s="15">
        <v>4</v>
      </c>
      <c r="H25" s="15">
        <v>200</v>
      </c>
      <c r="I25" s="16">
        <f t="shared" si="0"/>
        <v>925</v>
      </c>
      <c r="J25" s="16">
        <f t="shared" si="1"/>
        <v>515</v>
      </c>
      <c r="K25" s="17" t="s">
        <v>55</v>
      </c>
      <c r="L25" s="17" t="s">
        <v>56</v>
      </c>
      <c r="M25" s="17" t="s">
        <v>55</v>
      </c>
      <c r="N25" s="17" t="s">
        <v>75</v>
      </c>
    </row>
    <row r="26" spans="1:14" ht="28.8" x14ac:dyDescent="0.3">
      <c r="A26" s="14">
        <v>46267</v>
      </c>
      <c r="B26" s="15">
        <v>390</v>
      </c>
      <c r="C26" s="15">
        <v>15</v>
      </c>
      <c r="D26" s="15">
        <v>40</v>
      </c>
      <c r="E26" s="15">
        <v>100</v>
      </c>
      <c r="F26" s="15">
        <v>250</v>
      </c>
      <c r="G26" s="15">
        <v>5</v>
      </c>
      <c r="H26" s="15">
        <v>40</v>
      </c>
      <c r="I26" s="16">
        <f t="shared" si="0"/>
        <v>835</v>
      </c>
      <c r="J26" s="16">
        <f t="shared" si="1"/>
        <v>605</v>
      </c>
      <c r="K26" s="17" t="s">
        <v>58</v>
      </c>
      <c r="L26" s="17" t="s">
        <v>58</v>
      </c>
      <c r="M26" s="17" t="s">
        <v>51</v>
      </c>
      <c r="N26" s="17" t="s">
        <v>76</v>
      </c>
    </row>
    <row r="27" spans="1:14" ht="28.8" x14ac:dyDescent="0.3">
      <c r="A27" s="14">
        <v>46268</v>
      </c>
      <c r="B27" s="15">
        <v>420</v>
      </c>
      <c r="C27" s="15">
        <v>25</v>
      </c>
      <c r="D27" s="15">
        <v>35</v>
      </c>
      <c r="E27" s="15">
        <v>45</v>
      </c>
      <c r="F27" s="15">
        <v>360</v>
      </c>
      <c r="G27" s="15">
        <v>6</v>
      </c>
      <c r="H27" s="15">
        <v>90</v>
      </c>
      <c r="I27" s="16">
        <f t="shared" si="0"/>
        <v>975</v>
      </c>
      <c r="J27" s="16">
        <f t="shared" si="1"/>
        <v>465</v>
      </c>
      <c r="K27" s="17" t="s">
        <v>69</v>
      </c>
      <c r="L27" s="17" t="s">
        <v>70</v>
      </c>
      <c r="M27" s="17" t="s">
        <v>55</v>
      </c>
      <c r="N27" s="17" t="s">
        <v>77</v>
      </c>
    </row>
    <row r="28" spans="1:14" ht="43.2" x14ac:dyDescent="0.3">
      <c r="A28" s="14">
        <v>46269</v>
      </c>
      <c r="B28" s="15">
        <v>330</v>
      </c>
      <c r="C28" s="15">
        <v>30</v>
      </c>
      <c r="D28" s="15">
        <v>50</v>
      </c>
      <c r="E28" s="15">
        <v>35</v>
      </c>
      <c r="F28" s="15">
        <v>350</v>
      </c>
      <c r="G28" s="15">
        <v>7</v>
      </c>
      <c r="H28" s="15">
        <v>79</v>
      </c>
      <c r="I28" s="16">
        <f t="shared" si="0"/>
        <v>874</v>
      </c>
      <c r="J28" s="16">
        <f t="shared" si="1"/>
        <v>566</v>
      </c>
      <c r="K28" s="17" t="s">
        <v>55</v>
      </c>
      <c r="L28" s="17" t="s">
        <v>70</v>
      </c>
      <c r="M28" s="17" t="s">
        <v>55</v>
      </c>
      <c r="N28" s="17" t="s">
        <v>78</v>
      </c>
    </row>
    <row r="29" spans="1:14" ht="43.2" x14ac:dyDescent="0.3">
      <c r="A29" s="14">
        <v>46270</v>
      </c>
      <c r="B29" s="15">
        <v>480</v>
      </c>
      <c r="C29" s="15">
        <v>0</v>
      </c>
      <c r="D29" s="15">
        <v>10</v>
      </c>
      <c r="E29" s="15">
        <v>20</v>
      </c>
      <c r="F29" s="15">
        <v>0</v>
      </c>
      <c r="G29" s="15">
        <v>0</v>
      </c>
      <c r="H29" s="15">
        <v>180</v>
      </c>
      <c r="I29" s="16">
        <f t="shared" si="0"/>
        <v>690</v>
      </c>
      <c r="J29" s="16">
        <f t="shared" si="1"/>
        <v>750</v>
      </c>
      <c r="K29" s="17" t="s">
        <v>58</v>
      </c>
      <c r="L29" s="17" t="s">
        <v>58</v>
      </c>
      <c r="M29" s="17" t="s">
        <v>51</v>
      </c>
      <c r="N29" s="17" t="s">
        <v>79</v>
      </c>
    </row>
    <row r="30" spans="1:14" ht="43.2" x14ac:dyDescent="0.3">
      <c r="A30" s="14">
        <v>46271</v>
      </c>
      <c r="B30" s="15">
        <v>450</v>
      </c>
      <c r="C30" s="15">
        <v>0</v>
      </c>
      <c r="D30" s="15">
        <v>20</v>
      </c>
      <c r="E30" s="15">
        <v>30</v>
      </c>
      <c r="F30" s="15">
        <v>0</v>
      </c>
      <c r="G30" s="15">
        <v>0</v>
      </c>
      <c r="H30" s="15">
        <v>120</v>
      </c>
      <c r="I30" s="16">
        <f t="shared" si="0"/>
        <v>620</v>
      </c>
      <c r="J30" s="16">
        <f t="shared" si="1"/>
        <v>820</v>
      </c>
      <c r="K30" s="17" t="s">
        <v>58</v>
      </c>
      <c r="L30" s="17" t="s">
        <v>70</v>
      </c>
      <c r="M30" s="17" t="s">
        <v>63</v>
      </c>
      <c r="N30" s="17" t="s">
        <v>80</v>
      </c>
    </row>
    <row r="31" spans="1:14" ht="43.2" x14ac:dyDescent="0.3">
      <c r="A31" s="14">
        <v>46272</v>
      </c>
      <c r="B31" s="15">
        <v>330</v>
      </c>
      <c r="C31" s="15">
        <v>20</v>
      </c>
      <c r="D31" s="15">
        <v>40</v>
      </c>
      <c r="E31" s="15">
        <v>40</v>
      </c>
      <c r="F31" s="15">
        <v>250</v>
      </c>
      <c r="G31" s="15">
        <v>5</v>
      </c>
      <c r="H31" s="15">
        <v>80</v>
      </c>
      <c r="I31" s="16">
        <f t="shared" si="0"/>
        <v>760</v>
      </c>
      <c r="J31" s="16">
        <f t="shared" si="1"/>
        <v>680</v>
      </c>
      <c r="K31" s="17" t="s">
        <v>69</v>
      </c>
      <c r="L31" s="17" t="s">
        <v>58</v>
      </c>
      <c r="M31" s="17" t="s">
        <v>51</v>
      </c>
      <c r="N31" s="17" t="s">
        <v>81</v>
      </c>
    </row>
    <row r="32" spans="1:14" ht="28.8" x14ac:dyDescent="0.3">
      <c r="A32" s="14">
        <v>46273</v>
      </c>
      <c r="B32" s="15">
        <v>360</v>
      </c>
      <c r="C32" s="15">
        <v>30</v>
      </c>
      <c r="D32" s="15">
        <v>50</v>
      </c>
      <c r="E32" s="15">
        <v>50</v>
      </c>
      <c r="F32" s="15">
        <v>250</v>
      </c>
      <c r="G32" s="15">
        <v>5</v>
      </c>
      <c r="H32" s="15">
        <v>240</v>
      </c>
      <c r="I32" s="16">
        <f t="shared" si="0"/>
        <v>980</v>
      </c>
      <c r="J32" s="16">
        <f t="shared" si="1"/>
        <v>460</v>
      </c>
      <c r="K32" s="17" t="s">
        <v>55</v>
      </c>
      <c r="L32" s="17" t="s">
        <v>70</v>
      </c>
      <c r="M32" s="17" t="s">
        <v>55</v>
      </c>
      <c r="N32" s="17" t="s">
        <v>82</v>
      </c>
    </row>
    <row r="33" spans="1:14" ht="28.8" x14ac:dyDescent="0.3">
      <c r="A33" s="14">
        <v>46274</v>
      </c>
      <c r="B33" s="15">
        <v>350</v>
      </c>
      <c r="C33" s="15">
        <v>20</v>
      </c>
      <c r="D33" s="15">
        <v>40</v>
      </c>
      <c r="E33" s="15">
        <v>60</v>
      </c>
      <c r="F33" s="15">
        <v>250</v>
      </c>
      <c r="G33" s="15">
        <v>5</v>
      </c>
      <c r="H33" s="15">
        <v>60</v>
      </c>
      <c r="I33" s="16">
        <f t="shared" si="0"/>
        <v>780</v>
      </c>
      <c r="J33" s="16">
        <f t="shared" si="1"/>
        <v>660</v>
      </c>
      <c r="K33" s="17" t="s">
        <v>49</v>
      </c>
      <c r="L33" s="17" t="s">
        <v>50</v>
      </c>
      <c r="M33" s="17" t="s">
        <v>63</v>
      </c>
      <c r="N33" s="17" t="s">
        <v>83</v>
      </c>
    </row>
    <row r="34" spans="1:14" ht="43.2" x14ac:dyDescent="0.3">
      <c r="A34" s="14">
        <v>46275</v>
      </c>
      <c r="B34" s="15">
        <v>380</v>
      </c>
      <c r="C34" s="15">
        <v>30</v>
      </c>
      <c r="D34" s="15">
        <v>80</v>
      </c>
      <c r="E34" s="15">
        <v>10</v>
      </c>
      <c r="F34" s="15">
        <v>100</v>
      </c>
      <c r="G34" s="15">
        <v>2</v>
      </c>
      <c r="H34" s="15">
        <v>15</v>
      </c>
      <c r="I34" s="16">
        <f t="shared" si="0"/>
        <v>615</v>
      </c>
      <c r="J34" s="16">
        <f t="shared" si="1"/>
        <v>825</v>
      </c>
      <c r="K34" s="17" t="s">
        <v>58</v>
      </c>
      <c r="L34" s="17" t="s">
        <v>58</v>
      </c>
      <c r="M34" s="17" t="s">
        <v>51</v>
      </c>
      <c r="N34" s="17" t="s">
        <v>84</v>
      </c>
    </row>
    <row r="35" spans="1:14" ht="43.2" x14ac:dyDescent="0.3">
      <c r="A35" s="14">
        <v>46276</v>
      </c>
      <c r="B35" s="15">
        <v>410</v>
      </c>
      <c r="C35" s="15">
        <v>20</v>
      </c>
      <c r="D35" s="15">
        <v>40</v>
      </c>
      <c r="E35" s="15">
        <v>50</v>
      </c>
      <c r="F35" s="15">
        <v>300</v>
      </c>
      <c r="G35" s="15">
        <v>6</v>
      </c>
      <c r="H35" s="15">
        <v>60</v>
      </c>
      <c r="I35" s="16">
        <f t="shared" si="0"/>
        <v>880</v>
      </c>
      <c r="J35" s="16">
        <f t="shared" si="1"/>
        <v>560</v>
      </c>
      <c r="K35" s="17" t="s">
        <v>49</v>
      </c>
      <c r="L35" s="17" t="s">
        <v>50</v>
      </c>
      <c r="M35" s="17" t="s">
        <v>51</v>
      </c>
      <c r="N35" s="17" t="s">
        <v>85</v>
      </c>
    </row>
    <row r="36" spans="1:14" ht="28.8" x14ac:dyDescent="0.3">
      <c r="A36" s="14">
        <v>46277</v>
      </c>
      <c r="B36" s="15">
        <v>450</v>
      </c>
      <c r="C36" s="15">
        <v>10</v>
      </c>
      <c r="D36" s="15">
        <v>15</v>
      </c>
      <c r="E36" s="15">
        <v>30</v>
      </c>
      <c r="F36" s="15">
        <v>0</v>
      </c>
      <c r="G36" s="15">
        <v>0</v>
      </c>
      <c r="H36" s="15">
        <v>240</v>
      </c>
      <c r="I36" s="16">
        <f t="shared" si="0"/>
        <v>745</v>
      </c>
      <c r="J36" s="16">
        <f t="shared" si="1"/>
        <v>695</v>
      </c>
      <c r="K36" s="17" t="s">
        <v>49</v>
      </c>
      <c r="L36" s="17" t="s">
        <v>50</v>
      </c>
      <c r="M36" s="17" t="s">
        <v>63</v>
      </c>
      <c r="N36" s="17" t="s">
        <v>86</v>
      </c>
    </row>
    <row r="37" spans="1:14" ht="43.2" x14ac:dyDescent="0.3">
      <c r="A37" s="14">
        <v>46278</v>
      </c>
      <c r="B37" s="15">
        <v>300</v>
      </c>
      <c r="C37" s="15">
        <v>0</v>
      </c>
      <c r="D37" s="15">
        <v>20</v>
      </c>
      <c r="E37" s="15">
        <v>50</v>
      </c>
      <c r="F37" s="15">
        <v>0</v>
      </c>
      <c r="G37" s="15">
        <v>0</v>
      </c>
      <c r="H37" s="15">
        <v>300</v>
      </c>
      <c r="I37" s="16">
        <f t="shared" si="0"/>
        <v>670</v>
      </c>
      <c r="J37" s="16">
        <f t="shared" si="1"/>
        <v>770</v>
      </c>
      <c r="K37" s="17" t="s">
        <v>49</v>
      </c>
      <c r="L37" s="17" t="s">
        <v>50</v>
      </c>
      <c r="M37" s="17" t="s">
        <v>51</v>
      </c>
      <c r="N37" s="17" t="s">
        <v>90</v>
      </c>
    </row>
    <row r="38" spans="1:14" ht="28.8" x14ac:dyDescent="0.3">
      <c r="A38" s="14">
        <v>46279</v>
      </c>
      <c r="B38" s="15">
        <v>420</v>
      </c>
      <c r="C38" s="15">
        <v>15</v>
      </c>
      <c r="D38" s="15">
        <v>40</v>
      </c>
      <c r="E38" s="15">
        <v>60</v>
      </c>
      <c r="F38" s="15">
        <v>200</v>
      </c>
      <c r="G38" s="15">
        <v>4</v>
      </c>
      <c r="H38" s="15">
        <v>200</v>
      </c>
      <c r="I38" s="16">
        <f t="shared" si="0"/>
        <v>935</v>
      </c>
      <c r="J38" s="16">
        <f t="shared" si="1"/>
        <v>505</v>
      </c>
      <c r="K38" s="17" t="s">
        <v>87</v>
      </c>
      <c r="L38" s="17" t="s">
        <v>88</v>
      </c>
      <c r="M38" s="17" t="s">
        <v>51</v>
      </c>
      <c r="N38" s="17" t="s">
        <v>91</v>
      </c>
    </row>
    <row r="39" spans="1:14" ht="28.8" x14ac:dyDescent="0.3">
      <c r="A39" s="14">
        <v>46280</v>
      </c>
      <c r="B39" s="15">
        <v>330</v>
      </c>
      <c r="C39" s="15">
        <v>10</v>
      </c>
      <c r="D39" s="15">
        <v>20</v>
      </c>
      <c r="E39" s="15">
        <v>40</v>
      </c>
      <c r="F39" s="15">
        <v>250</v>
      </c>
      <c r="G39" s="15">
        <v>5</v>
      </c>
      <c r="H39" s="15">
        <v>150</v>
      </c>
      <c r="I39" s="16">
        <f t="shared" si="0"/>
        <v>800</v>
      </c>
      <c r="J39" s="16">
        <f t="shared" si="1"/>
        <v>640</v>
      </c>
      <c r="K39" s="17" t="s">
        <v>58</v>
      </c>
      <c r="L39" s="17" t="s">
        <v>58</v>
      </c>
      <c r="M39" s="17" t="s">
        <v>51</v>
      </c>
      <c r="N39" s="17" t="s">
        <v>89</v>
      </c>
    </row>
    <row r="40" spans="1:14" ht="28.8" x14ac:dyDescent="0.3">
      <c r="A40" s="14">
        <v>46281</v>
      </c>
      <c r="B40" s="15">
        <v>510</v>
      </c>
      <c r="C40" s="15">
        <v>0</v>
      </c>
      <c r="D40" s="15">
        <v>60</v>
      </c>
      <c r="E40" s="15">
        <v>30</v>
      </c>
      <c r="F40" s="15">
        <v>250</v>
      </c>
      <c r="G40" s="15">
        <v>5</v>
      </c>
      <c r="H40" s="15">
        <v>90</v>
      </c>
      <c r="I40" s="16">
        <f t="shared" si="0"/>
        <v>940</v>
      </c>
      <c r="J40" s="16">
        <f t="shared" si="1"/>
        <v>500</v>
      </c>
      <c r="K40" s="17" t="s">
        <v>49</v>
      </c>
      <c r="L40" s="17" t="s">
        <v>58</v>
      </c>
      <c r="M40" s="17" t="s">
        <v>51</v>
      </c>
      <c r="N40" s="17" t="s">
        <v>92</v>
      </c>
    </row>
    <row r="41" spans="1:14" ht="43.2" x14ac:dyDescent="0.3">
      <c r="A41" s="14">
        <v>46282</v>
      </c>
      <c r="B41" s="15">
        <v>290</v>
      </c>
      <c r="C41" s="15">
        <v>10</v>
      </c>
      <c r="D41" s="15">
        <v>45</v>
      </c>
      <c r="E41" s="15">
        <v>30</v>
      </c>
      <c r="F41" s="15">
        <v>300</v>
      </c>
      <c r="G41" s="15">
        <v>6</v>
      </c>
      <c r="H41" s="15">
        <v>60</v>
      </c>
      <c r="I41" s="16">
        <f t="shared" si="0"/>
        <v>735</v>
      </c>
      <c r="J41" s="16">
        <f t="shared" si="1"/>
        <v>705</v>
      </c>
      <c r="K41" s="17" t="s">
        <v>49</v>
      </c>
      <c r="L41" s="17" t="s">
        <v>58</v>
      </c>
      <c r="M41" s="17" t="s">
        <v>51</v>
      </c>
      <c r="N41" s="17" t="s">
        <v>93</v>
      </c>
    </row>
    <row r="42" spans="1:14" ht="43.2" x14ac:dyDescent="0.3">
      <c r="A42" s="14">
        <v>46283</v>
      </c>
      <c r="B42" s="15">
        <v>350</v>
      </c>
      <c r="C42" s="15">
        <v>15</v>
      </c>
      <c r="D42" s="15">
        <v>40</v>
      </c>
      <c r="E42" s="15">
        <v>45</v>
      </c>
      <c r="F42" s="15">
        <v>350</v>
      </c>
      <c r="G42" s="15">
        <v>7</v>
      </c>
      <c r="H42" s="15">
        <v>90</v>
      </c>
      <c r="I42" s="16">
        <f t="shared" si="0"/>
        <v>890</v>
      </c>
      <c r="J42" s="16">
        <f t="shared" si="1"/>
        <v>550</v>
      </c>
      <c r="K42" s="17" t="s">
        <v>55</v>
      </c>
      <c r="L42" s="17" t="s">
        <v>56</v>
      </c>
      <c r="M42" s="17" t="s">
        <v>51</v>
      </c>
      <c r="N42" s="17" t="s">
        <v>94</v>
      </c>
    </row>
    <row r="43" spans="1:14" ht="72" x14ac:dyDescent="0.3">
      <c r="A43" s="14">
        <v>46284</v>
      </c>
      <c r="B43" s="15">
        <v>240</v>
      </c>
      <c r="C43" s="15">
        <v>10</v>
      </c>
      <c r="D43" s="15">
        <v>20</v>
      </c>
      <c r="E43" s="15">
        <v>10</v>
      </c>
      <c r="F43" s="15">
        <v>60</v>
      </c>
      <c r="G43" s="15">
        <v>1</v>
      </c>
      <c r="H43" s="15">
        <v>360</v>
      </c>
      <c r="I43" s="16">
        <f t="shared" si="0"/>
        <v>700</v>
      </c>
      <c r="J43" s="16">
        <f t="shared" si="1"/>
        <v>740</v>
      </c>
      <c r="K43" s="17" t="s">
        <v>69</v>
      </c>
      <c r="L43" s="17" t="s">
        <v>70</v>
      </c>
      <c r="M43" s="17" t="s">
        <v>55</v>
      </c>
      <c r="N43" s="17" t="s">
        <v>95</v>
      </c>
    </row>
    <row r="44" spans="1:14" ht="43.2" x14ac:dyDescent="0.3">
      <c r="A44" s="14">
        <v>46285</v>
      </c>
      <c r="B44" s="15">
        <v>410</v>
      </c>
      <c r="C44" s="15">
        <v>0</v>
      </c>
      <c r="D44" s="15">
        <v>70</v>
      </c>
      <c r="E44" s="15">
        <v>50</v>
      </c>
      <c r="F44" s="15">
        <v>0</v>
      </c>
      <c r="G44" s="15">
        <v>0</v>
      </c>
      <c r="H44" s="15">
        <v>410</v>
      </c>
      <c r="I44" s="16">
        <f t="shared" si="0"/>
        <v>940</v>
      </c>
      <c r="J44" s="16">
        <f t="shared" si="1"/>
        <v>500</v>
      </c>
      <c r="K44" s="17" t="s">
        <v>49</v>
      </c>
      <c r="L44" s="17" t="s">
        <v>58</v>
      </c>
      <c r="M44" s="17" t="s">
        <v>51</v>
      </c>
      <c r="N44" s="17" t="s">
        <v>96</v>
      </c>
    </row>
    <row r="45" spans="1:14" ht="43.2" x14ac:dyDescent="0.3">
      <c r="A45" s="14">
        <v>46286</v>
      </c>
      <c r="B45" s="15">
        <v>350</v>
      </c>
      <c r="C45" s="15">
        <v>30</v>
      </c>
      <c r="D45" s="15">
        <v>40</v>
      </c>
      <c r="E45" s="15">
        <v>60</v>
      </c>
      <c r="F45" s="15">
        <v>200</v>
      </c>
      <c r="G45" s="15">
        <v>4</v>
      </c>
      <c r="H45" s="15">
        <v>150</v>
      </c>
      <c r="I45" s="16">
        <f t="shared" si="0"/>
        <v>830</v>
      </c>
      <c r="J45" s="16">
        <f t="shared" si="1"/>
        <v>610</v>
      </c>
      <c r="K45" s="17" t="s">
        <v>55</v>
      </c>
      <c r="L45" s="17" t="s">
        <v>56</v>
      </c>
      <c r="M45" s="17" t="s">
        <v>55</v>
      </c>
      <c r="N45" s="17" t="s">
        <v>103</v>
      </c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6" si="12">IF(SUM(B390:F390,H390)=0,"",SUM(B390:F390,H390))</f>
        <v/>
      </c>
      <c r="J390" s="10" t="str">
        <f t="shared" ref="J390:J406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  <row r="402" spans="1:14" x14ac:dyDescent="0.3">
      <c r="A402" s="8"/>
      <c r="B402" s="9"/>
      <c r="C402" s="9"/>
      <c r="D402" s="9"/>
      <c r="E402" s="9"/>
      <c r="F402" s="9"/>
      <c r="G402" s="9"/>
      <c r="H402" s="9"/>
      <c r="I402" s="10" t="str">
        <f t="shared" si="12"/>
        <v/>
      </c>
      <c r="J402" s="10" t="str">
        <f t="shared" si="13"/>
        <v/>
      </c>
      <c r="K402" s="11"/>
      <c r="L402" s="11"/>
      <c r="M402" s="11"/>
      <c r="N402" s="12"/>
    </row>
    <row r="403" spans="1:14" x14ac:dyDescent="0.3">
      <c r="A403" s="8"/>
      <c r="B403" s="9"/>
      <c r="C403" s="9"/>
      <c r="D403" s="9"/>
      <c r="E403" s="9"/>
      <c r="F403" s="9"/>
      <c r="G403" s="9"/>
      <c r="H403" s="9"/>
      <c r="I403" s="10" t="str">
        <f t="shared" si="12"/>
        <v/>
      </c>
      <c r="J403" s="10" t="str">
        <f t="shared" si="13"/>
        <v/>
      </c>
      <c r="K403" s="11"/>
      <c r="L403" s="11"/>
      <c r="M403" s="11"/>
      <c r="N403" s="12"/>
    </row>
    <row r="404" spans="1:14" x14ac:dyDescent="0.3">
      <c r="A404" s="8"/>
      <c r="B404" s="9"/>
      <c r="C404" s="9"/>
      <c r="D404" s="9"/>
      <c r="E404" s="9"/>
      <c r="F404" s="9"/>
      <c r="G404" s="9"/>
      <c r="H404" s="9"/>
      <c r="I404" s="10" t="str">
        <f t="shared" si="12"/>
        <v/>
      </c>
      <c r="J404" s="10" t="str">
        <f t="shared" si="13"/>
        <v/>
      </c>
      <c r="K404" s="11"/>
      <c r="L404" s="11"/>
      <c r="M404" s="11"/>
      <c r="N404" s="12"/>
    </row>
    <row r="405" spans="1:14" x14ac:dyDescent="0.3">
      <c r="A405" s="8"/>
      <c r="B405" s="9"/>
      <c r="C405" s="9"/>
      <c r="D405" s="9"/>
      <c r="E405" s="9"/>
      <c r="F405" s="9"/>
      <c r="G405" s="9"/>
      <c r="H405" s="9"/>
      <c r="I405" s="10" t="str">
        <f t="shared" si="12"/>
        <v/>
      </c>
      <c r="J405" s="10" t="str">
        <f t="shared" si="13"/>
        <v/>
      </c>
      <c r="K405" s="11"/>
      <c r="L405" s="11"/>
      <c r="M405" s="11"/>
      <c r="N405" s="12"/>
    </row>
    <row r="406" spans="1:14" x14ac:dyDescent="0.3">
      <c r="A406" s="8"/>
      <c r="B406" s="9"/>
      <c r="C406" s="9"/>
      <c r="D406" s="9"/>
      <c r="E406" s="9"/>
      <c r="F406" s="9"/>
      <c r="G406" s="9"/>
      <c r="H406" s="9"/>
      <c r="I406" s="10" t="str">
        <f t="shared" si="12"/>
        <v/>
      </c>
      <c r="J406" s="10" t="str">
        <f t="shared" si="13"/>
        <v/>
      </c>
      <c r="K406" s="11"/>
      <c r="L406" s="11"/>
      <c r="M406" s="11"/>
      <c r="N406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6">
    <cfRule type="cellIs" dxfId="1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6" xr:uid="{D3A1D897-986C-4142-AAAD-8374377897F5}">
      <formula1>"Excellent,Good,Neutral,Low,Stressed"</formula1>
      <formula2>0</formula2>
    </dataValidation>
    <dataValidation type="list" allowBlank="1" prompt="Select today's satisfaction level" sqref="L6:L406" xr:uid="{33650840-AC5E-4F1B-887B-46ED49D1F365}">
      <formula1>"Very Satisfied,Satisfied,Neutral,Unsatisfied,Very Unsatisfied"</formula1>
      <formula2>0</formula2>
    </dataValidation>
    <dataValidation type="list" allowBlank="1" prompt="Select today's energy level" sqref="M6:M406" xr:uid="{A255EE73-BF12-411E-8BD6-059B37DDCA8B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2026-09-21T16:11:02Z</dcterms:modified>
  <dc:language>en-US</dc:language>
</cp:coreProperties>
</file>